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MA" sheetId="2" r:id="rId5"/>
    <sheet state="visible" name="DMA" sheetId="3" r:id="rId6"/>
    <sheet state="visible" name="SES" sheetId="4" r:id="rId7"/>
    <sheet state="visible" name="DES" sheetId="5" r:id="rId8"/>
    <sheet state="visible" name="Perbandingan" sheetId="6" r:id="rId9"/>
  </sheets>
  <definedNames/>
  <calcPr/>
</workbook>
</file>

<file path=xl/sharedStrings.xml><?xml version="1.0" encoding="utf-8"?>
<sst xmlns="http://schemas.openxmlformats.org/spreadsheetml/2006/main" count="237" uniqueCount="78">
  <si>
    <t>Data Pemulusan (Time Series Smoothing)</t>
  </si>
  <si>
    <t>NIM (2 digit terakhir):</t>
  </si>
  <si>
    <t>t</t>
  </si>
  <si>
    <t>Advert (asli)</t>
  </si>
  <si>
    <t>Advert + NIM</t>
  </si>
  <si>
    <t>Sales (asli)</t>
  </si>
  <si>
    <t>Sales + NIM</t>
  </si>
  <si>
    <t>Pemulusan SMA (Simple/Single Moving Average) - pencarian orde optimal (m=3,4,5)</t>
  </si>
  <si>
    <t>ADVERT (data + NIM)</t>
  </si>
  <si>
    <t>Actual</t>
  </si>
  <si>
    <t>F (m=3)</t>
  </si>
  <si>
    <t>SE (m=3)</t>
  </si>
  <si>
    <t>F (m=4)</t>
  </si>
  <si>
    <t>SE (m=4)</t>
  </si>
  <si>
    <t>F (m=5)</t>
  </si>
  <si>
    <t>SE (m=5)</t>
  </si>
  <si>
    <t>MSD</t>
  </si>
  <si>
    <t>MAD</t>
  </si>
  <si>
    <t>MAPE (%)</t>
  </si>
  <si>
    <t>Orde terbaik:</t>
  </si>
  <si>
    <t>MSD terbaik:</t>
  </si>
  <si>
    <t>SALES (data + NIM)</t>
  </si>
  <si>
    <t>Pemulusan DMA (Double Moving Average) - pencarian orde optimal (m=3,4,5)</t>
  </si>
  <si>
    <t>ADVERT (data + NIM) - orde m=3</t>
  </si>
  <si>
    <t>S' (single MA)</t>
  </si>
  <si>
    <t>S'' (double MA)</t>
  </si>
  <si>
    <t>a</t>
  </si>
  <si>
    <t>b</t>
  </si>
  <si>
    <t>F (t+1)</t>
  </si>
  <si>
    <t>Prediksi t=25:</t>
  </si>
  <si>
    <t>ADVERT (data + NIM) - orde m=4</t>
  </si>
  <si>
    <t>ADVERT (data + NIM) - orde m=5</t>
  </si>
  <si>
    <t>SALES (data + NIM) - orde m=3</t>
  </si>
  <si>
    <t>SALES (data + NIM) - orde m=4</t>
  </si>
  <si>
    <t>SALES (data + NIM) - orde m=5</t>
  </si>
  <si>
    <t>Pemulusan SES (Single Exponential Smoothing) - pencarian alpha optimal (0.1-0.9)</t>
  </si>
  <si>
    <t>F (α=0.1)</t>
  </si>
  <si>
    <t>F (α=0.2)</t>
  </si>
  <si>
    <t>F (α=0.3)</t>
  </si>
  <si>
    <t>F (α=0.4)</t>
  </si>
  <si>
    <t>F (α=0.5)</t>
  </si>
  <si>
    <t>F (α=0.6)</t>
  </si>
  <si>
    <t>F (α=0.7)</t>
  </si>
  <si>
    <t>F (α=0.8)</t>
  </si>
  <si>
    <t>F (α=0.9)</t>
  </si>
  <si>
    <t>alpha -&gt;</t>
  </si>
  <si>
    <t>Alpha terbaik:</t>
  </si>
  <si>
    <t>Pemulusan DES Brown (Double Exponential Smoothing, 1 parameter) - pencarian alpha optimal (0.1-0.9)</t>
  </si>
  <si>
    <t>S' (α=0.1)</t>
  </si>
  <si>
    <t>S'' (α=0.1)</t>
  </si>
  <si>
    <t>S' (α=0.2)</t>
  </si>
  <si>
    <t>S'' (α=0.2)</t>
  </si>
  <si>
    <t>S' (α=0.3)</t>
  </si>
  <si>
    <t>S'' (α=0.3)</t>
  </si>
  <si>
    <t>S' (α=0.4)</t>
  </si>
  <si>
    <t>S'' (α=0.4)</t>
  </si>
  <si>
    <t>S' (α=0.5)</t>
  </si>
  <si>
    <t>S'' (α=0.5)</t>
  </si>
  <si>
    <t>S' (α=0.6)</t>
  </si>
  <si>
    <t>S'' (α=0.6)</t>
  </si>
  <si>
    <t>S' (α=0.7)</t>
  </si>
  <si>
    <t>S'' (α=0.7)</t>
  </si>
  <si>
    <t>S' (α=0.8)</t>
  </si>
  <si>
    <t>S'' (α=0.8)</t>
  </si>
  <si>
    <t>S' (α=0.9)</t>
  </si>
  <si>
    <t>S'' (α=0.9)</t>
  </si>
  <si>
    <t>Perbandingan Metode Pemulusan dan Pemilihan Metode Terbaik</t>
  </si>
  <si>
    <t>Metode</t>
  </si>
  <si>
    <t>Parameter - ADVERT</t>
  </si>
  <si>
    <t>MSD - ADVERT</t>
  </si>
  <si>
    <t>Parameter - SALES</t>
  </si>
  <si>
    <t>MSD - SALES</t>
  </si>
  <si>
    <t>SMA</t>
  </si>
  <si>
    <t>DMA</t>
  </si>
  <si>
    <t>SES</t>
  </si>
  <si>
    <t>DES (Brown)</t>
  </si>
  <si>
    <t>Metode terbaik - ADVERT:</t>
  </si>
  <si>
    <t>Metode terbaik - SALES: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</si>
</sst>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7">
    <font>
      <sz val="11.0"/>
      <color/>
      <name val="Arial"/>
      <scheme val="minor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3.0"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0" fillId="0" fontId="3" numFmtId="0" xfId="0" applyFont="1"/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3" numFmtId="164" xfId="0" applyAlignment="1" applyBorder="1" applyFont="1" applyNumberFormat="1">
      <alignment horizontal="right" vertical="center"/>
    </xf>
    <xf borderId="0" fillId="0" fontId="4" numFmtId="0" xfId="0" applyFont="1"/>
    <xf borderId="0" fillId="0" fontId="5" numFmtId="0" xfId="0" applyFont="1"/>
    <xf borderId="1" fillId="0" fontId="3" numFmtId="2" xfId="0" applyAlignment="1" applyBorder="1" applyFont="1" applyNumberFormat="1">
      <alignment horizontal="right" vertical="center"/>
    </xf>
    <xf borderId="1" fillId="0" fontId="2" numFmtId="165" xfId="0" applyAlignment="1" applyBorder="1" applyFont="1" applyNumberFormat="1">
      <alignment horizontal="right" vertical="center"/>
    </xf>
    <xf borderId="1" fillId="0" fontId="2" numFmtId="2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0" fillId="0" fontId="6" numFmtId="0" xfId="0" applyFont="1"/>
    <xf borderId="0" fillId="0" fontId="2" numFmtId="0" xfId="0" applyAlignment="1" applyFont="1">
      <alignment horizontal="right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5" width="14.0"/>
    <col customWidth="1" min="6" max="11" width="8.71"/>
  </cols>
  <sheetData>
    <row r="1" ht="14.25" customHeight="1">
      <c r="A1" s="1" t="s">
        <v>0</v>
      </c>
      <c r="F1" s="2" t="s">
        <v>1</v>
      </c>
      <c r="G1" s="3">
        <v>82.0</v>
      </c>
    </row>
    <row r="2" ht="14.25" customHeight="1">
      <c r="A2" s="4"/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4.25" customHeight="1">
      <c r="A4" s="6">
        <v>1.0</v>
      </c>
      <c r="B4" s="7">
        <v>25.0</v>
      </c>
      <c r="C4" s="7" t="str">
        <f t="shared" ref="C4:C27" si="1">B4+$G$1</f>
        <v>107</v>
      </c>
      <c r="D4" s="8">
        <v>92.8</v>
      </c>
      <c r="E4" s="8" t="str">
        <f t="shared" ref="E4:E27" si="2">D4+$G$1</f>
        <v>174.8</v>
      </c>
    </row>
    <row r="5" ht="14.25" customHeight="1">
      <c r="A5" s="6">
        <v>2.0</v>
      </c>
      <c r="B5" s="7">
        <v>0.0</v>
      </c>
      <c r="C5" s="7" t="str">
        <f t="shared" si="1"/>
        <v>82</v>
      </c>
      <c r="D5" s="8">
        <v>79.2</v>
      </c>
      <c r="E5" s="8" t="str">
        <f t="shared" si="2"/>
        <v>161.2</v>
      </c>
    </row>
    <row r="6" ht="14.25" customHeight="1">
      <c r="A6" s="6">
        <v>3.0</v>
      </c>
      <c r="B6" s="7">
        <v>15.0</v>
      </c>
      <c r="C6" s="7" t="str">
        <f t="shared" si="1"/>
        <v>97</v>
      </c>
      <c r="D6" s="8">
        <v>84.5</v>
      </c>
      <c r="E6" s="8" t="str">
        <f t="shared" si="2"/>
        <v>166.5</v>
      </c>
    </row>
    <row r="7" ht="14.25" customHeight="1">
      <c r="A7" s="6">
        <v>4.0</v>
      </c>
      <c r="B7" s="7">
        <v>10.0</v>
      </c>
      <c r="C7" s="7" t="str">
        <f t="shared" si="1"/>
        <v>92</v>
      </c>
      <c r="D7" s="8">
        <v>83.0</v>
      </c>
      <c r="E7" s="8" t="str">
        <f t="shared" si="2"/>
        <v>165.0</v>
      </c>
    </row>
    <row r="8" ht="14.25" customHeight="1">
      <c r="A8" s="6">
        <v>5.0</v>
      </c>
      <c r="B8" s="7">
        <v>20.0</v>
      </c>
      <c r="C8" s="7" t="str">
        <f t="shared" si="1"/>
        <v>102</v>
      </c>
      <c r="D8" s="8">
        <v>88.1</v>
      </c>
      <c r="E8" s="8" t="str">
        <f t="shared" si="2"/>
        <v>170.1</v>
      </c>
    </row>
    <row r="9" ht="14.25" customHeight="1">
      <c r="A9" s="6">
        <v>6.0</v>
      </c>
      <c r="B9" s="7">
        <v>10.0</v>
      </c>
      <c r="C9" s="7" t="str">
        <f t="shared" si="1"/>
        <v>92</v>
      </c>
      <c r="D9" s="8">
        <v>83.9</v>
      </c>
      <c r="E9" s="8" t="str">
        <f t="shared" si="2"/>
        <v>165.9</v>
      </c>
    </row>
    <row r="10" ht="14.25" customHeight="1">
      <c r="A10" s="6">
        <v>7.0</v>
      </c>
      <c r="B10" s="7">
        <v>5.0</v>
      </c>
      <c r="C10" s="7" t="str">
        <f t="shared" si="1"/>
        <v>87</v>
      </c>
      <c r="D10" s="8">
        <v>79.9</v>
      </c>
      <c r="E10" s="8" t="str">
        <f t="shared" si="2"/>
        <v>161.9</v>
      </c>
    </row>
    <row r="11" ht="14.25" customHeight="1">
      <c r="A11" s="6">
        <v>8.0</v>
      </c>
      <c r="B11" s="7">
        <v>5.0</v>
      </c>
      <c r="C11" s="7" t="str">
        <f t="shared" si="1"/>
        <v>87</v>
      </c>
      <c r="D11" s="8">
        <v>81.1</v>
      </c>
      <c r="E11" s="8" t="str">
        <f t="shared" si="2"/>
        <v>163.1</v>
      </c>
    </row>
    <row r="12" ht="14.25" customHeight="1">
      <c r="A12" s="6">
        <v>9.0</v>
      </c>
      <c r="B12" s="7">
        <v>15.0</v>
      </c>
      <c r="C12" s="7" t="str">
        <f t="shared" si="1"/>
        <v>97</v>
      </c>
      <c r="D12" s="8">
        <v>86.4</v>
      </c>
      <c r="E12" s="8" t="str">
        <f t="shared" si="2"/>
        <v>168.4</v>
      </c>
    </row>
    <row r="13" ht="14.25" customHeight="1">
      <c r="A13" s="6">
        <v>10.0</v>
      </c>
      <c r="B13" s="7">
        <v>15.0</v>
      </c>
      <c r="C13" s="7" t="str">
        <f t="shared" si="1"/>
        <v>97</v>
      </c>
      <c r="D13" s="8">
        <v>86.3</v>
      </c>
      <c r="E13" s="8" t="str">
        <f t="shared" si="2"/>
        <v>168.3</v>
      </c>
    </row>
    <row r="14" ht="14.25" customHeight="1">
      <c r="A14" s="6">
        <v>11.0</v>
      </c>
      <c r="B14" s="7">
        <v>5.0</v>
      </c>
      <c r="C14" s="7" t="str">
        <f t="shared" si="1"/>
        <v>87</v>
      </c>
      <c r="D14" s="8">
        <v>81.9</v>
      </c>
      <c r="E14" s="8" t="str">
        <f t="shared" si="2"/>
        <v>163.9</v>
      </c>
    </row>
    <row r="15" ht="14.25" customHeight="1">
      <c r="A15" s="6">
        <v>12.0</v>
      </c>
      <c r="B15" s="7">
        <v>20.0</v>
      </c>
      <c r="C15" s="7" t="str">
        <f t="shared" si="1"/>
        <v>102</v>
      </c>
      <c r="D15" s="8">
        <v>90.6</v>
      </c>
      <c r="E15" s="8" t="str">
        <f t="shared" si="2"/>
        <v>172.6</v>
      </c>
    </row>
    <row r="16" ht="14.25" customHeight="1">
      <c r="A16" s="6">
        <v>13.0</v>
      </c>
      <c r="B16" s="7">
        <v>15.0</v>
      </c>
      <c r="C16" s="7" t="str">
        <f t="shared" si="1"/>
        <v>97</v>
      </c>
      <c r="D16" s="8">
        <v>91.4</v>
      </c>
      <c r="E16" s="8" t="str">
        <f t="shared" si="2"/>
        <v>173.4</v>
      </c>
    </row>
    <row r="17" ht="14.25" customHeight="1">
      <c r="A17" s="6">
        <v>14.0</v>
      </c>
      <c r="B17" s="7">
        <v>5.0</v>
      </c>
      <c r="C17" s="7" t="str">
        <f t="shared" si="1"/>
        <v>87</v>
      </c>
      <c r="D17" s="8">
        <v>88.5</v>
      </c>
      <c r="E17" s="8" t="str">
        <f t="shared" si="2"/>
        <v>170.5</v>
      </c>
    </row>
    <row r="18" ht="14.25" customHeight="1">
      <c r="A18" s="6">
        <v>15.0</v>
      </c>
      <c r="B18" s="7">
        <v>10.0</v>
      </c>
      <c r="C18" s="7" t="str">
        <f t="shared" si="1"/>
        <v>92</v>
      </c>
      <c r="D18" s="8">
        <v>93.5</v>
      </c>
      <c r="E18" s="8" t="str">
        <f t="shared" si="2"/>
        <v>175.5</v>
      </c>
    </row>
    <row r="19" ht="14.25" customHeight="1">
      <c r="A19" s="6">
        <v>16.0</v>
      </c>
      <c r="B19" s="7">
        <v>25.0</v>
      </c>
      <c r="C19" s="7" t="str">
        <f t="shared" si="1"/>
        <v>107</v>
      </c>
      <c r="D19" s="8">
        <v>105.0</v>
      </c>
      <c r="E19" s="8" t="str">
        <f t="shared" si="2"/>
        <v>187.0</v>
      </c>
    </row>
    <row r="20" ht="14.25" customHeight="1">
      <c r="A20" s="6">
        <v>17.0</v>
      </c>
      <c r="B20" s="7">
        <v>15.0</v>
      </c>
      <c r="C20" s="7" t="str">
        <f t="shared" si="1"/>
        <v>97</v>
      </c>
      <c r="D20" s="8">
        <v>103.5</v>
      </c>
      <c r="E20" s="8" t="str">
        <f t="shared" si="2"/>
        <v>185.5</v>
      </c>
    </row>
    <row r="21" ht="14.25" customHeight="1">
      <c r="A21" s="6">
        <v>18.0</v>
      </c>
      <c r="B21" s="7">
        <v>5.0</v>
      </c>
      <c r="C21" s="7" t="str">
        <f t="shared" si="1"/>
        <v>87</v>
      </c>
      <c r="D21" s="8">
        <v>99.6</v>
      </c>
      <c r="E21" s="8" t="str">
        <f t="shared" si="2"/>
        <v>181.6</v>
      </c>
    </row>
    <row r="22" ht="14.25" customHeight="1">
      <c r="A22" s="6">
        <v>19.0</v>
      </c>
      <c r="B22" s="7">
        <v>15.0</v>
      </c>
      <c r="C22" s="7" t="str">
        <f t="shared" si="1"/>
        <v>97</v>
      </c>
      <c r="D22" s="8">
        <v>107.1</v>
      </c>
      <c r="E22" s="8" t="str">
        <f t="shared" si="2"/>
        <v>189.1</v>
      </c>
    </row>
    <row r="23" ht="14.25" customHeight="1">
      <c r="A23" s="6">
        <v>20.0</v>
      </c>
      <c r="B23" s="7">
        <v>20.0</v>
      </c>
      <c r="C23" s="7" t="str">
        <f t="shared" si="1"/>
        <v>102</v>
      </c>
      <c r="D23" s="8">
        <v>110.9</v>
      </c>
      <c r="E23" s="8" t="str">
        <f t="shared" si="2"/>
        <v>192.9</v>
      </c>
    </row>
    <row r="24" ht="14.25" customHeight="1">
      <c r="A24" s="6">
        <v>21.0</v>
      </c>
      <c r="B24" s="7">
        <v>25.0</v>
      </c>
      <c r="C24" s="7" t="str">
        <f t="shared" si="1"/>
        <v>107</v>
      </c>
      <c r="D24" s="8">
        <v>114.7</v>
      </c>
      <c r="E24" s="8" t="str">
        <f t="shared" si="2"/>
        <v>196.7</v>
      </c>
    </row>
    <row r="25" ht="14.25" customHeight="1">
      <c r="A25" s="6">
        <v>22.0</v>
      </c>
      <c r="B25" s="7">
        <v>15.0</v>
      </c>
      <c r="C25" s="7" t="str">
        <f t="shared" si="1"/>
        <v>97</v>
      </c>
      <c r="D25" s="8">
        <v>112.1</v>
      </c>
      <c r="E25" s="8" t="str">
        <f t="shared" si="2"/>
        <v>194.1</v>
      </c>
    </row>
    <row r="26" ht="14.25" customHeight="1">
      <c r="A26" s="6">
        <v>23.0</v>
      </c>
      <c r="B26" s="7">
        <v>0.0</v>
      </c>
      <c r="C26" s="7" t="str">
        <f t="shared" si="1"/>
        <v>82</v>
      </c>
      <c r="D26" s="8">
        <v>105.5</v>
      </c>
      <c r="E26" s="8" t="str">
        <f t="shared" si="2"/>
        <v>187.5</v>
      </c>
    </row>
    <row r="27" ht="14.25" customHeight="1">
      <c r="A27" s="6">
        <v>24.0</v>
      </c>
      <c r="B27" s="7">
        <v>5.0</v>
      </c>
      <c r="C27" s="7" t="str">
        <f t="shared" si="1"/>
        <v>87</v>
      </c>
      <c r="D27" s="8">
        <v>110.9</v>
      </c>
      <c r="E27" s="8" t="str">
        <f t="shared" si="2"/>
        <v>192.9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8" width="10.0"/>
    <col customWidth="1" min="9" max="11" width="8.71"/>
  </cols>
  <sheetData>
    <row r="1" ht="14.25" customHeight="1">
      <c r="A1" s="9" t="s">
        <v>7</v>
      </c>
    </row>
    <row r="2" ht="14.25" customHeight="1"/>
    <row r="3" ht="14.25" customHeight="1">
      <c r="A3" s="10" t="s">
        <v>8</v>
      </c>
    </row>
    <row r="4" ht="14.25" customHeight="1">
      <c r="A4" s="5" t="s">
        <v>2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</row>
    <row r="5" ht="14.25" customHeight="1">
      <c r="A5" s="6">
        <v>1.0</v>
      </c>
      <c r="B5" s="8" t="str">
        <f>Data!C4</f>
        <v>107.0</v>
      </c>
      <c r="C5" s="11"/>
      <c r="D5" s="11"/>
      <c r="E5" s="11"/>
      <c r="F5" s="11"/>
      <c r="G5" s="11"/>
      <c r="H5" s="11"/>
    </row>
    <row r="6" ht="14.25" customHeight="1">
      <c r="A6" s="6">
        <v>2.0</v>
      </c>
      <c r="B6" s="8" t="str">
        <f>Data!C5</f>
        <v>82.0</v>
      </c>
      <c r="C6" s="11"/>
      <c r="D6" s="11"/>
      <c r="E6" s="11"/>
      <c r="F6" s="11"/>
      <c r="G6" s="11"/>
      <c r="H6" s="11"/>
    </row>
    <row r="7" ht="14.25" customHeight="1">
      <c r="A7" s="6">
        <v>3.0</v>
      </c>
      <c r="B7" s="8" t="str">
        <f>Data!C6</f>
        <v>97.0</v>
      </c>
      <c r="C7" s="11"/>
      <c r="D7" s="11"/>
      <c r="E7" s="11"/>
      <c r="F7" s="11"/>
      <c r="G7" s="11"/>
      <c r="H7" s="11"/>
    </row>
    <row r="8" ht="14.25" customHeight="1">
      <c r="A8" s="6">
        <v>4.0</v>
      </c>
      <c r="B8" s="8" t="str">
        <f>Data!C7</f>
        <v>92.0</v>
      </c>
      <c r="C8" s="11" t="str">
        <f t="shared" ref="C8:C28" si="1">AVERAGE(B5:B7)</f>
        <v>95.33</v>
      </c>
      <c r="D8" s="11" t="str">
        <f t="shared" ref="D8:D28" si="2">(B8-C8)^2</f>
        <v>11.11</v>
      </c>
      <c r="E8" s="11"/>
      <c r="F8" s="11"/>
      <c r="G8" s="11"/>
      <c r="H8" s="11"/>
    </row>
    <row r="9" ht="14.25" customHeight="1">
      <c r="A9" s="6">
        <v>5.0</v>
      </c>
      <c r="B9" s="8" t="str">
        <f>Data!C8</f>
        <v>102.0</v>
      </c>
      <c r="C9" s="11" t="str">
        <f t="shared" si="1"/>
        <v>90.33</v>
      </c>
      <c r="D9" s="11" t="str">
        <f t="shared" si="2"/>
        <v>136.11</v>
      </c>
      <c r="E9" s="11" t="str">
        <f t="shared" ref="E9:E28" si="3">AVERAGE(B5:B8)</f>
        <v>94.50</v>
      </c>
      <c r="F9" s="11" t="str">
        <f t="shared" ref="F9:F28" si="4">(B9-E9)^2</f>
        <v>56.25</v>
      </c>
      <c r="G9" s="11"/>
      <c r="H9" s="11"/>
    </row>
    <row r="10" ht="14.25" customHeight="1">
      <c r="A10" s="6">
        <v>6.0</v>
      </c>
      <c r="B10" s="8" t="str">
        <f>Data!C9</f>
        <v>92.0</v>
      </c>
      <c r="C10" s="11" t="str">
        <f t="shared" si="1"/>
        <v>97.00</v>
      </c>
      <c r="D10" s="11" t="str">
        <f t="shared" si="2"/>
        <v>25.00</v>
      </c>
      <c r="E10" s="11" t="str">
        <f t="shared" si="3"/>
        <v>93.25</v>
      </c>
      <c r="F10" s="11" t="str">
        <f t="shared" si="4"/>
        <v>1.56</v>
      </c>
      <c r="G10" s="11" t="str">
        <f t="shared" ref="G10:G28" si="5">AVERAGE(B5:B9)</f>
        <v>96.00</v>
      </c>
      <c r="H10" s="11" t="str">
        <f t="shared" ref="H10:H28" si="6">(B10-G10)^2</f>
        <v>16.00</v>
      </c>
    </row>
    <row r="11" ht="14.25" customHeight="1">
      <c r="A11" s="6">
        <v>7.0</v>
      </c>
      <c r="B11" s="8" t="str">
        <f>Data!C10</f>
        <v>87.0</v>
      </c>
      <c r="C11" s="11" t="str">
        <f t="shared" si="1"/>
        <v>95.33</v>
      </c>
      <c r="D11" s="11" t="str">
        <f t="shared" si="2"/>
        <v>69.44</v>
      </c>
      <c r="E11" s="11" t="str">
        <f t="shared" si="3"/>
        <v>95.75</v>
      </c>
      <c r="F11" s="11" t="str">
        <f t="shared" si="4"/>
        <v>76.56</v>
      </c>
      <c r="G11" s="11" t="str">
        <f t="shared" si="5"/>
        <v>93.00</v>
      </c>
      <c r="H11" s="11" t="str">
        <f t="shared" si="6"/>
        <v>36.00</v>
      </c>
    </row>
    <row r="12" ht="14.25" customHeight="1">
      <c r="A12" s="6">
        <v>8.0</v>
      </c>
      <c r="B12" s="8" t="str">
        <f>Data!C11</f>
        <v>87.0</v>
      </c>
      <c r="C12" s="11" t="str">
        <f t="shared" si="1"/>
        <v>93.67</v>
      </c>
      <c r="D12" s="11" t="str">
        <f t="shared" si="2"/>
        <v>44.44</v>
      </c>
      <c r="E12" s="11" t="str">
        <f t="shared" si="3"/>
        <v>93.25</v>
      </c>
      <c r="F12" s="11" t="str">
        <f t="shared" si="4"/>
        <v>39.06</v>
      </c>
      <c r="G12" s="11" t="str">
        <f t="shared" si="5"/>
        <v>94.00</v>
      </c>
      <c r="H12" s="11" t="str">
        <f t="shared" si="6"/>
        <v>49.00</v>
      </c>
    </row>
    <row r="13" ht="14.25" customHeight="1">
      <c r="A13" s="6">
        <v>9.0</v>
      </c>
      <c r="B13" s="8" t="str">
        <f>Data!C12</f>
        <v>97.0</v>
      </c>
      <c r="C13" s="11" t="str">
        <f t="shared" si="1"/>
        <v>88.67</v>
      </c>
      <c r="D13" s="11" t="str">
        <f t="shared" si="2"/>
        <v>69.44</v>
      </c>
      <c r="E13" s="11" t="str">
        <f t="shared" si="3"/>
        <v>92.00</v>
      </c>
      <c r="F13" s="11" t="str">
        <f t="shared" si="4"/>
        <v>25.00</v>
      </c>
      <c r="G13" s="11" t="str">
        <f t="shared" si="5"/>
        <v>92.00</v>
      </c>
      <c r="H13" s="11" t="str">
        <f t="shared" si="6"/>
        <v>25.00</v>
      </c>
    </row>
    <row r="14" ht="14.25" customHeight="1">
      <c r="A14" s="6">
        <v>10.0</v>
      </c>
      <c r="B14" s="8" t="str">
        <f>Data!C13</f>
        <v>97.0</v>
      </c>
      <c r="C14" s="11" t="str">
        <f t="shared" si="1"/>
        <v>90.33</v>
      </c>
      <c r="D14" s="11" t="str">
        <f t="shared" si="2"/>
        <v>44.44</v>
      </c>
      <c r="E14" s="11" t="str">
        <f t="shared" si="3"/>
        <v>90.75</v>
      </c>
      <c r="F14" s="11" t="str">
        <f t="shared" si="4"/>
        <v>39.06</v>
      </c>
      <c r="G14" s="11" t="str">
        <f t="shared" si="5"/>
        <v>93.00</v>
      </c>
      <c r="H14" s="11" t="str">
        <f t="shared" si="6"/>
        <v>16.00</v>
      </c>
    </row>
    <row r="15" ht="14.25" customHeight="1">
      <c r="A15" s="6">
        <v>11.0</v>
      </c>
      <c r="B15" s="8" t="str">
        <f>Data!C14</f>
        <v>87.0</v>
      </c>
      <c r="C15" s="11" t="str">
        <f t="shared" si="1"/>
        <v>93.67</v>
      </c>
      <c r="D15" s="11" t="str">
        <f t="shared" si="2"/>
        <v>44.44</v>
      </c>
      <c r="E15" s="11" t="str">
        <f t="shared" si="3"/>
        <v>92.00</v>
      </c>
      <c r="F15" s="11" t="str">
        <f t="shared" si="4"/>
        <v>25.00</v>
      </c>
      <c r="G15" s="11" t="str">
        <f t="shared" si="5"/>
        <v>92.00</v>
      </c>
      <c r="H15" s="11" t="str">
        <f t="shared" si="6"/>
        <v>25.00</v>
      </c>
    </row>
    <row r="16" ht="14.25" customHeight="1">
      <c r="A16" s="6">
        <v>12.0</v>
      </c>
      <c r="B16" s="8" t="str">
        <f>Data!C15</f>
        <v>102.0</v>
      </c>
      <c r="C16" s="11" t="str">
        <f t="shared" si="1"/>
        <v>93.67</v>
      </c>
      <c r="D16" s="11" t="str">
        <f t="shared" si="2"/>
        <v>69.44</v>
      </c>
      <c r="E16" s="11" t="str">
        <f t="shared" si="3"/>
        <v>92.00</v>
      </c>
      <c r="F16" s="11" t="str">
        <f t="shared" si="4"/>
        <v>100.00</v>
      </c>
      <c r="G16" s="11" t="str">
        <f t="shared" si="5"/>
        <v>91.00</v>
      </c>
      <c r="H16" s="11" t="str">
        <f t="shared" si="6"/>
        <v>121.00</v>
      </c>
    </row>
    <row r="17" ht="14.25" customHeight="1">
      <c r="A17" s="6">
        <v>13.0</v>
      </c>
      <c r="B17" s="8" t="str">
        <f>Data!C16</f>
        <v>97.0</v>
      </c>
      <c r="C17" s="11" t="str">
        <f t="shared" si="1"/>
        <v>95.33</v>
      </c>
      <c r="D17" s="11" t="str">
        <f t="shared" si="2"/>
        <v>2.78</v>
      </c>
      <c r="E17" s="11" t="str">
        <f t="shared" si="3"/>
        <v>95.75</v>
      </c>
      <c r="F17" s="11" t="str">
        <f t="shared" si="4"/>
        <v>1.56</v>
      </c>
      <c r="G17" s="11" t="str">
        <f t="shared" si="5"/>
        <v>94.00</v>
      </c>
      <c r="H17" s="11" t="str">
        <f t="shared" si="6"/>
        <v>9.00</v>
      </c>
    </row>
    <row r="18" ht="14.25" customHeight="1">
      <c r="A18" s="6">
        <v>14.0</v>
      </c>
      <c r="B18" s="8" t="str">
        <f>Data!C17</f>
        <v>87.0</v>
      </c>
      <c r="C18" s="11" t="str">
        <f t="shared" si="1"/>
        <v>95.33</v>
      </c>
      <c r="D18" s="11" t="str">
        <f t="shared" si="2"/>
        <v>69.44</v>
      </c>
      <c r="E18" s="11" t="str">
        <f t="shared" si="3"/>
        <v>95.75</v>
      </c>
      <c r="F18" s="11" t="str">
        <f t="shared" si="4"/>
        <v>76.56</v>
      </c>
      <c r="G18" s="11" t="str">
        <f t="shared" si="5"/>
        <v>96.00</v>
      </c>
      <c r="H18" s="11" t="str">
        <f t="shared" si="6"/>
        <v>81.00</v>
      </c>
    </row>
    <row r="19" ht="14.25" customHeight="1">
      <c r="A19" s="6">
        <v>15.0</v>
      </c>
      <c r="B19" s="8" t="str">
        <f>Data!C18</f>
        <v>92.0</v>
      </c>
      <c r="C19" s="11" t="str">
        <f t="shared" si="1"/>
        <v>95.33</v>
      </c>
      <c r="D19" s="11" t="str">
        <f t="shared" si="2"/>
        <v>11.11</v>
      </c>
      <c r="E19" s="11" t="str">
        <f t="shared" si="3"/>
        <v>93.25</v>
      </c>
      <c r="F19" s="11" t="str">
        <f t="shared" si="4"/>
        <v>1.56</v>
      </c>
      <c r="G19" s="11" t="str">
        <f t="shared" si="5"/>
        <v>94.00</v>
      </c>
      <c r="H19" s="11" t="str">
        <f t="shared" si="6"/>
        <v>4.00</v>
      </c>
    </row>
    <row r="20" ht="14.25" customHeight="1">
      <c r="A20" s="6">
        <v>16.0</v>
      </c>
      <c r="B20" s="8" t="str">
        <f>Data!C19</f>
        <v>107.0</v>
      </c>
      <c r="C20" s="11" t="str">
        <f t="shared" si="1"/>
        <v>92.00</v>
      </c>
      <c r="D20" s="11" t="str">
        <f t="shared" si="2"/>
        <v>225.00</v>
      </c>
      <c r="E20" s="11" t="str">
        <f t="shared" si="3"/>
        <v>94.50</v>
      </c>
      <c r="F20" s="11" t="str">
        <f t="shared" si="4"/>
        <v>156.25</v>
      </c>
      <c r="G20" s="11" t="str">
        <f t="shared" si="5"/>
        <v>93.00</v>
      </c>
      <c r="H20" s="11" t="str">
        <f t="shared" si="6"/>
        <v>196.00</v>
      </c>
    </row>
    <row r="21" ht="14.25" customHeight="1">
      <c r="A21" s="6">
        <v>17.0</v>
      </c>
      <c r="B21" s="8" t="str">
        <f>Data!C20</f>
        <v>97.0</v>
      </c>
      <c r="C21" s="11" t="str">
        <f t="shared" si="1"/>
        <v>95.33</v>
      </c>
      <c r="D21" s="11" t="str">
        <f t="shared" si="2"/>
        <v>2.78</v>
      </c>
      <c r="E21" s="11" t="str">
        <f t="shared" si="3"/>
        <v>95.75</v>
      </c>
      <c r="F21" s="11" t="str">
        <f t="shared" si="4"/>
        <v>1.56</v>
      </c>
      <c r="G21" s="11" t="str">
        <f t="shared" si="5"/>
        <v>97.00</v>
      </c>
      <c r="H21" s="11" t="str">
        <f t="shared" si="6"/>
        <v>0.00</v>
      </c>
    </row>
    <row r="22" ht="14.25" customHeight="1">
      <c r="A22" s="6">
        <v>18.0</v>
      </c>
      <c r="B22" s="8" t="str">
        <f>Data!C21</f>
        <v>87.0</v>
      </c>
      <c r="C22" s="11" t="str">
        <f t="shared" si="1"/>
        <v>98.67</v>
      </c>
      <c r="D22" s="11" t="str">
        <f t="shared" si="2"/>
        <v>136.11</v>
      </c>
      <c r="E22" s="11" t="str">
        <f t="shared" si="3"/>
        <v>95.75</v>
      </c>
      <c r="F22" s="11" t="str">
        <f t="shared" si="4"/>
        <v>76.56</v>
      </c>
      <c r="G22" s="11" t="str">
        <f t="shared" si="5"/>
        <v>96.00</v>
      </c>
      <c r="H22" s="11" t="str">
        <f t="shared" si="6"/>
        <v>81.00</v>
      </c>
    </row>
    <row r="23" ht="14.25" customHeight="1">
      <c r="A23" s="6">
        <v>19.0</v>
      </c>
      <c r="B23" s="8" t="str">
        <f>Data!C22</f>
        <v>97.0</v>
      </c>
      <c r="C23" s="11" t="str">
        <f t="shared" si="1"/>
        <v>97.00</v>
      </c>
      <c r="D23" s="11" t="str">
        <f t="shared" si="2"/>
        <v>0.00</v>
      </c>
      <c r="E23" s="11" t="str">
        <f t="shared" si="3"/>
        <v>95.75</v>
      </c>
      <c r="F23" s="11" t="str">
        <f t="shared" si="4"/>
        <v>1.56</v>
      </c>
      <c r="G23" s="11" t="str">
        <f t="shared" si="5"/>
        <v>94.00</v>
      </c>
      <c r="H23" s="11" t="str">
        <f t="shared" si="6"/>
        <v>9.00</v>
      </c>
    </row>
    <row r="24" ht="14.25" customHeight="1">
      <c r="A24" s="6">
        <v>20.0</v>
      </c>
      <c r="B24" s="8" t="str">
        <f>Data!C23</f>
        <v>102.0</v>
      </c>
      <c r="C24" s="11" t="str">
        <f t="shared" si="1"/>
        <v>93.67</v>
      </c>
      <c r="D24" s="11" t="str">
        <f t="shared" si="2"/>
        <v>69.44</v>
      </c>
      <c r="E24" s="11" t="str">
        <f t="shared" si="3"/>
        <v>97.00</v>
      </c>
      <c r="F24" s="11" t="str">
        <f t="shared" si="4"/>
        <v>25.00</v>
      </c>
      <c r="G24" s="11" t="str">
        <f t="shared" si="5"/>
        <v>96.00</v>
      </c>
      <c r="H24" s="11" t="str">
        <f t="shared" si="6"/>
        <v>36.00</v>
      </c>
    </row>
    <row r="25" ht="14.25" customHeight="1">
      <c r="A25" s="6">
        <v>21.0</v>
      </c>
      <c r="B25" s="8" t="str">
        <f>Data!C24</f>
        <v>107.0</v>
      </c>
      <c r="C25" s="11" t="str">
        <f t="shared" si="1"/>
        <v>95.33</v>
      </c>
      <c r="D25" s="11" t="str">
        <f t="shared" si="2"/>
        <v>136.11</v>
      </c>
      <c r="E25" s="11" t="str">
        <f t="shared" si="3"/>
        <v>95.75</v>
      </c>
      <c r="F25" s="11" t="str">
        <f t="shared" si="4"/>
        <v>126.56</v>
      </c>
      <c r="G25" s="11" t="str">
        <f t="shared" si="5"/>
        <v>98.00</v>
      </c>
      <c r="H25" s="11" t="str">
        <f t="shared" si="6"/>
        <v>81.00</v>
      </c>
    </row>
    <row r="26" ht="14.25" customHeight="1">
      <c r="A26" s="6">
        <v>22.0</v>
      </c>
      <c r="B26" s="8" t="str">
        <f>Data!C25</f>
        <v>97.0</v>
      </c>
      <c r="C26" s="11" t="str">
        <f t="shared" si="1"/>
        <v>102.00</v>
      </c>
      <c r="D26" s="11" t="str">
        <f t="shared" si="2"/>
        <v>25.00</v>
      </c>
      <c r="E26" s="11" t="str">
        <f t="shared" si="3"/>
        <v>98.25</v>
      </c>
      <c r="F26" s="11" t="str">
        <f t="shared" si="4"/>
        <v>1.56</v>
      </c>
      <c r="G26" s="11" t="str">
        <f t="shared" si="5"/>
        <v>98.00</v>
      </c>
      <c r="H26" s="11" t="str">
        <f t="shared" si="6"/>
        <v>1.00</v>
      </c>
    </row>
    <row r="27" ht="14.25" customHeight="1">
      <c r="A27" s="6">
        <v>23.0</v>
      </c>
      <c r="B27" s="8" t="str">
        <f>Data!C26</f>
        <v>82.0</v>
      </c>
      <c r="C27" s="11" t="str">
        <f t="shared" si="1"/>
        <v>102.00</v>
      </c>
      <c r="D27" s="11" t="str">
        <f t="shared" si="2"/>
        <v>400.00</v>
      </c>
      <c r="E27" s="11" t="str">
        <f t="shared" si="3"/>
        <v>100.75</v>
      </c>
      <c r="F27" s="11" t="str">
        <f t="shared" si="4"/>
        <v>351.56</v>
      </c>
      <c r="G27" s="11" t="str">
        <f t="shared" si="5"/>
        <v>98.00</v>
      </c>
      <c r="H27" s="11" t="str">
        <f t="shared" si="6"/>
        <v>256.00</v>
      </c>
    </row>
    <row r="28" ht="14.25" customHeight="1">
      <c r="A28" s="6">
        <v>24.0</v>
      </c>
      <c r="B28" s="8" t="str">
        <f>Data!C27</f>
        <v>87.0</v>
      </c>
      <c r="C28" s="11" t="str">
        <f t="shared" si="1"/>
        <v>95.33</v>
      </c>
      <c r="D28" s="11" t="str">
        <f t="shared" si="2"/>
        <v>69.44</v>
      </c>
      <c r="E28" s="11" t="str">
        <f t="shared" si="3"/>
        <v>97.00</v>
      </c>
      <c r="F28" s="11" t="str">
        <f t="shared" si="4"/>
        <v>100.00</v>
      </c>
      <c r="G28" s="11" t="str">
        <f t="shared" si="5"/>
        <v>97.00</v>
      </c>
      <c r="H28" s="11" t="str">
        <f t="shared" si="6"/>
        <v>100.00</v>
      </c>
    </row>
    <row r="29" ht="14.25" customHeight="1"/>
    <row r="30" ht="14.25" customHeight="1">
      <c r="A30" s="2" t="s">
        <v>16</v>
      </c>
      <c r="D30" s="12" t="str">
        <f>AVERAGE(D5:D28)</f>
        <v>79.101</v>
      </c>
      <c r="F30" s="12" t="str">
        <f>AVERAGE(F5:F28)</f>
        <v>64.141</v>
      </c>
      <c r="H30" s="12" t="str">
        <f>AVERAGE(H5:H28)</f>
        <v>60.105</v>
      </c>
    </row>
    <row r="31" ht="14.25" customHeight="1">
      <c r="A31" s="2" t="s">
        <v>17</v>
      </c>
      <c r="D31" s="12" t="str">
        <f>SUMPRODUCT(SQRT(D5:D28))/COUNT(D5:D28)</f>
        <v>7.619</v>
      </c>
      <c r="F31" s="12" t="str">
        <f>SUMPRODUCT(SQRT(F5:F28))/COUNT(F5:F28)</f>
        <v>6.563</v>
      </c>
      <c r="H31" s="12" t="str">
        <f>SUMPRODUCT(SQRT(H5:H28))/COUNT(H5:H28)</f>
        <v>6.526</v>
      </c>
    </row>
    <row r="32" ht="14.25" customHeight="1">
      <c r="A32" s="2" t="s">
        <v>18</v>
      </c>
      <c r="D32" s="13" t="str">
        <f>SUMPRODUCT(SQRT(D5:D28)/B5:B28)/COUNT(D5:D28)*100</f>
        <v>8.16</v>
      </c>
      <c r="F32" s="13" t="str">
        <f>SUMPRODUCT(SQRT(F5:F28)/B5:B28)/COUNT(F5:F28)*100</f>
        <v>7.06</v>
      </c>
      <c r="H32" s="13" t="str">
        <f>SUMPRODUCT(SQRT(H5:H28)/B5:B28)/COUNT(H5:H28)*100</f>
        <v>7.03</v>
      </c>
    </row>
    <row r="33" ht="14.25" customHeight="1">
      <c r="A33" s="2" t="s">
        <v>19</v>
      </c>
      <c r="B33" s="14" t="str">
        <f>IF(D30=MIN(D30,F30,H30),3,IF(F30=MIN(D30,F30,H30),4,5))</f>
        <v>5</v>
      </c>
    </row>
    <row r="34" ht="14.25" customHeight="1">
      <c r="A34" s="2" t="s">
        <v>20</v>
      </c>
      <c r="B34" s="15" t="str">
        <f>MIN(D30,F30,H30)</f>
        <v>60.105</v>
      </c>
    </row>
    <row r="35" ht="14.25" customHeight="1"/>
    <row r="36" ht="14.25" customHeight="1"/>
    <row r="37" ht="14.25" customHeight="1">
      <c r="A37" s="10" t="s">
        <v>21</v>
      </c>
    </row>
    <row r="38" ht="14.25" customHeight="1">
      <c r="A38" s="5" t="s">
        <v>2</v>
      </c>
      <c r="B38" s="5" t="s">
        <v>9</v>
      </c>
      <c r="C38" s="5" t="s">
        <v>10</v>
      </c>
      <c r="D38" s="5" t="s">
        <v>11</v>
      </c>
      <c r="E38" s="5" t="s">
        <v>12</v>
      </c>
      <c r="F38" s="5" t="s">
        <v>13</v>
      </c>
      <c r="G38" s="5" t="s">
        <v>14</v>
      </c>
      <c r="H38" s="5" t="s">
        <v>15</v>
      </c>
    </row>
    <row r="39" ht="14.25" customHeight="1">
      <c r="A39" s="6">
        <v>1.0</v>
      </c>
      <c r="B39" s="8" t="str">
        <f>Data!E4</f>
        <v>174.8</v>
      </c>
      <c r="C39" s="11"/>
      <c r="D39" s="11"/>
      <c r="E39" s="11"/>
      <c r="F39" s="11"/>
      <c r="G39" s="11"/>
      <c r="H39" s="11"/>
    </row>
    <row r="40" ht="14.25" customHeight="1">
      <c r="A40" s="6">
        <v>2.0</v>
      </c>
      <c r="B40" s="8" t="str">
        <f>Data!E5</f>
        <v>161.2</v>
      </c>
      <c r="C40" s="11"/>
      <c r="D40" s="11"/>
      <c r="E40" s="11"/>
      <c r="F40" s="11"/>
      <c r="G40" s="11"/>
      <c r="H40" s="11"/>
    </row>
    <row r="41" ht="14.25" customHeight="1">
      <c r="A41" s="6">
        <v>3.0</v>
      </c>
      <c r="B41" s="8" t="str">
        <f>Data!E6</f>
        <v>166.5</v>
      </c>
      <c r="C41" s="11"/>
      <c r="D41" s="11"/>
      <c r="E41" s="11"/>
      <c r="F41" s="11"/>
      <c r="G41" s="11"/>
      <c r="H41" s="11"/>
    </row>
    <row r="42" ht="14.25" customHeight="1">
      <c r="A42" s="6">
        <v>4.0</v>
      </c>
      <c r="B42" s="8" t="str">
        <f>Data!E7</f>
        <v>165.0</v>
      </c>
      <c r="C42" s="11" t="str">
        <f t="shared" ref="C42:C62" si="7">AVERAGE(B39:B41)</f>
        <v>167.50</v>
      </c>
      <c r="D42" s="11" t="str">
        <f t="shared" ref="D42:D62" si="8">(B42-C42)^2</f>
        <v>6.25</v>
      </c>
      <c r="E42" s="11"/>
      <c r="F42" s="11"/>
      <c r="G42" s="11"/>
      <c r="H42" s="11"/>
    </row>
    <row r="43" ht="14.25" customHeight="1">
      <c r="A43" s="6">
        <v>5.0</v>
      </c>
      <c r="B43" s="8" t="str">
        <f>Data!E8</f>
        <v>170.1</v>
      </c>
      <c r="C43" s="11" t="str">
        <f t="shared" si="7"/>
        <v>164.23</v>
      </c>
      <c r="D43" s="11" t="str">
        <f t="shared" si="8"/>
        <v>34.42</v>
      </c>
      <c r="E43" s="11" t="str">
        <f t="shared" ref="E43:E62" si="9">AVERAGE(B39:B42)</f>
        <v>166.88</v>
      </c>
      <c r="F43" s="11" t="str">
        <f t="shared" ref="F43:F62" si="10">(B43-E43)^2</f>
        <v>10.40</v>
      </c>
      <c r="G43" s="11"/>
      <c r="H43" s="11"/>
    </row>
    <row r="44" ht="14.25" customHeight="1">
      <c r="A44" s="6">
        <v>6.0</v>
      </c>
      <c r="B44" s="8" t="str">
        <f>Data!E9</f>
        <v>165.9</v>
      </c>
      <c r="C44" s="11" t="str">
        <f t="shared" si="7"/>
        <v>167.20</v>
      </c>
      <c r="D44" s="11" t="str">
        <f t="shared" si="8"/>
        <v>1.69</v>
      </c>
      <c r="E44" s="11" t="str">
        <f t="shared" si="9"/>
        <v>165.70</v>
      </c>
      <c r="F44" s="11" t="str">
        <f t="shared" si="10"/>
        <v>0.04</v>
      </c>
      <c r="G44" s="11" t="str">
        <f t="shared" ref="G44:G62" si="11">AVERAGE(B39:B43)</f>
        <v>167.52</v>
      </c>
      <c r="H44" s="11" t="str">
        <f t="shared" ref="H44:H62" si="12">(B44-G44)^2</f>
        <v>2.62</v>
      </c>
    </row>
    <row r="45" ht="14.25" customHeight="1">
      <c r="A45" s="6">
        <v>7.0</v>
      </c>
      <c r="B45" s="8" t="str">
        <f>Data!E10</f>
        <v>161.9</v>
      </c>
      <c r="C45" s="11" t="str">
        <f t="shared" si="7"/>
        <v>167.00</v>
      </c>
      <c r="D45" s="11" t="str">
        <f t="shared" si="8"/>
        <v>26.01</v>
      </c>
      <c r="E45" s="11" t="str">
        <f t="shared" si="9"/>
        <v>166.88</v>
      </c>
      <c r="F45" s="11" t="str">
        <f t="shared" si="10"/>
        <v>24.75</v>
      </c>
      <c r="G45" s="11" t="str">
        <f t="shared" si="11"/>
        <v>165.74</v>
      </c>
      <c r="H45" s="11" t="str">
        <f t="shared" si="12"/>
        <v>14.75</v>
      </c>
    </row>
    <row r="46" ht="14.25" customHeight="1">
      <c r="A46" s="6">
        <v>8.0</v>
      </c>
      <c r="B46" s="8" t="str">
        <f>Data!E11</f>
        <v>163.1</v>
      </c>
      <c r="C46" s="11" t="str">
        <f t="shared" si="7"/>
        <v>165.97</v>
      </c>
      <c r="D46" s="11" t="str">
        <f t="shared" si="8"/>
        <v>8.22</v>
      </c>
      <c r="E46" s="11" t="str">
        <f t="shared" si="9"/>
        <v>165.73</v>
      </c>
      <c r="F46" s="11" t="str">
        <f t="shared" si="10"/>
        <v>6.89</v>
      </c>
      <c r="G46" s="11" t="str">
        <f t="shared" si="11"/>
        <v>165.88</v>
      </c>
      <c r="H46" s="11" t="str">
        <f t="shared" si="12"/>
        <v>7.73</v>
      </c>
    </row>
    <row r="47" ht="14.25" customHeight="1">
      <c r="A47" s="6">
        <v>9.0</v>
      </c>
      <c r="B47" s="8" t="str">
        <f>Data!E12</f>
        <v>168.4</v>
      </c>
      <c r="C47" s="11" t="str">
        <f t="shared" si="7"/>
        <v>163.63</v>
      </c>
      <c r="D47" s="11" t="str">
        <f t="shared" si="8"/>
        <v>22.72</v>
      </c>
      <c r="E47" s="11" t="str">
        <f t="shared" si="9"/>
        <v>165.25</v>
      </c>
      <c r="F47" s="11" t="str">
        <f t="shared" si="10"/>
        <v>9.92</v>
      </c>
      <c r="G47" s="11" t="str">
        <f t="shared" si="11"/>
        <v>165.20</v>
      </c>
      <c r="H47" s="11" t="str">
        <f t="shared" si="12"/>
        <v>10.24</v>
      </c>
    </row>
    <row r="48" ht="14.25" customHeight="1">
      <c r="A48" s="6">
        <v>10.0</v>
      </c>
      <c r="B48" s="8" t="str">
        <f>Data!E13</f>
        <v>168.3</v>
      </c>
      <c r="C48" s="11" t="str">
        <f t="shared" si="7"/>
        <v>164.47</v>
      </c>
      <c r="D48" s="11" t="str">
        <f t="shared" si="8"/>
        <v>14.69</v>
      </c>
      <c r="E48" s="11" t="str">
        <f t="shared" si="9"/>
        <v>164.83</v>
      </c>
      <c r="F48" s="11" t="str">
        <f t="shared" si="10"/>
        <v>12.08</v>
      </c>
      <c r="G48" s="11" t="str">
        <f t="shared" si="11"/>
        <v>165.88</v>
      </c>
      <c r="H48" s="11" t="str">
        <f t="shared" si="12"/>
        <v>5.86</v>
      </c>
    </row>
    <row r="49" ht="14.25" customHeight="1">
      <c r="A49" s="6">
        <v>11.0</v>
      </c>
      <c r="B49" s="8" t="str">
        <f>Data!E14</f>
        <v>163.9</v>
      </c>
      <c r="C49" s="11" t="str">
        <f t="shared" si="7"/>
        <v>166.60</v>
      </c>
      <c r="D49" s="11" t="str">
        <f t="shared" si="8"/>
        <v>7.29</v>
      </c>
      <c r="E49" s="11" t="str">
        <f t="shared" si="9"/>
        <v>165.43</v>
      </c>
      <c r="F49" s="11" t="str">
        <f t="shared" si="10"/>
        <v>2.33</v>
      </c>
      <c r="G49" s="11" t="str">
        <f t="shared" si="11"/>
        <v>165.52</v>
      </c>
      <c r="H49" s="11" t="str">
        <f t="shared" si="12"/>
        <v>2.62</v>
      </c>
    </row>
    <row r="50" ht="14.25" customHeight="1">
      <c r="A50" s="6">
        <v>12.0</v>
      </c>
      <c r="B50" s="8" t="str">
        <f>Data!E15</f>
        <v>172.6</v>
      </c>
      <c r="C50" s="11" t="str">
        <f t="shared" si="7"/>
        <v>166.87</v>
      </c>
      <c r="D50" s="11" t="str">
        <f t="shared" si="8"/>
        <v>32.87</v>
      </c>
      <c r="E50" s="11" t="str">
        <f t="shared" si="9"/>
        <v>165.93</v>
      </c>
      <c r="F50" s="11" t="str">
        <f t="shared" si="10"/>
        <v>44.56</v>
      </c>
      <c r="G50" s="11" t="str">
        <f t="shared" si="11"/>
        <v>165.12</v>
      </c>
      <c r="H50" s="11" t="str">
        <f t="shared" si="12"/>
        <v>55.95</v>
      </c>
    </row>
    <row r="51" ht="14.25" customHeight="1">
      <c r="A51" s="6">
        <v>13.0</v>
      </c>
      <c r="B51" s="8" t="str">
        <f>Data!E16</f>
        <v>173.4</v>
      </c>
      <c r="C51" s="11" t="str">
        <f t="shared" si="7"/>
        <v>168.27</v>
      </c>
      <c r="D51" s="11" t="str">
        <f t="shared" si="8"/>
        <v>26.35</v>
      </c>
      <c r="E51" s="11" t="str">
        <f t="shared" si="9"/>
        <v>168.30</v>
      </c>
      <c r="F51" s="11" t="str">
        <f t="shared" si="10"/>
        <v>26.01</v>
      </c>
      <c r="G51" s="11" t="str">
        <f t="shared" si="11"/>
        <v>167.26</v>
      </c>
      <c r="H51" s="11" t="str">
        <f t="shared" si="12"/>
        <v>37.70</v>
      </c>
    </row>
    <row r="52" ht="14.25" customHeight="1">
      <c r="A52" s="6">
        <v>14.0</v>
      </c>
      <c r="B52" s="8" t="str">
        <f>Data!E17</f>
        <v>170.5</v>
      </c>
      <c r="C52" s="11" t="str">
        <f t="shared" si="7"/>
        <v>169.97</v>
      </c>
      <c r="D52" s="11" t="str">
        <f t="shared" si="8"/>
        <v>0.28</v>
      </c>
      <c r="E52" s="11" t="str">
        <f t="shared" si="9"/>
        <v>169.55</v>
      </c>
      <c r="F52" s="11" t="str">
        <f t="shared" si="10"/>
        <v>0.90</v>
      </c>
      <c r="G52" s="11" t="str">
        <f t="shared" si="11"/>
        <v>169.32</v>
      </c>
      <c r="H52" s="11" t="str">
        <f t="shared" si="12"/>
        <v>1.39</v>
      </c>
    </row>
    <row r="53" ht="14.25" customHeight="1">
      <c r="A53" s="6">
        <v>15.0</v>
      </c>
      <c r="B53" s="8" t="str">
        <f>Data!E18</f>
        <v>175.5</v>
      </c>
      <c r="C53" s="11" t="str">
        <f t="shared" si="7"/>
        <v>172.17</v>
      </c>
      <c r="D53" s="11" t="str">
        <f t="shared" si="8"/>
        <v>11.11</v>
      </c>
      <c r="E53" s="11" t="str">
        <f t="shared" si="9"/>
        <v>170.10</v>
      </c>
      <c r="F53" s="11" t="str">
        <f t="shared" si="10"/>
        <v>29.16</v>
      </c>
      <c r="G53" s="11" t="str">
        <f t="shared" si="11"/>
        <v>169.74</v>
      </c>
      <c r="H53" s="11" t="str">
        <f t="shared" si="12"/>
        <v>33.18</v>
      </c>
    </row>
    <row r="54" ht="14.25" customHeight="1">
      <c r="A54" s="6">
        <v>16.0</v>
      </c>
      <c r="B54" s="8" t="str">
        <f>Data!E19</f>
        <v>187.0</v>
      </c>
      <c r="C54" s="11" t="str">
        <f t="shared" si="7"/>
        <v>173.13</v>
      </c>
      <c r="D54" s="11" t="str">
        <f t="shared" si="8"/>
        <v>192.28</v>
      </c>
      <c r="E54" s="11" t="str">
        <f t="shared" si="9"/>
        <v>173.00</v>
      </c>
      <c r="F54" s="11" t="str">
        <f t="shared" si="10"/>
        <v>196.00</v>
      </c>
      <c r="G54" s="11" t="str">
        <f t="shared" si="11"/>
        <v>171.18</v>
      </c>
      <c r="H54" s="11" t="str">
        <f t="shared" si="12"/>
        <v>250.27</v>
      </c>
    </row>
    <row r="55" ht="14.25" customHeight="1">
      <c r="A55" s="6">
        <v>17.0</v>
      </c>
      <c r="B55" s="8" t="str">
        <f>Data!E20</f>
        <v>185.5</v>
      </c>
      <c r="C55" s="11" t="str">
        <f t="shared" si="7"/>
        <v>177.67</v>
      </c>
      <c r="D55" s="11" t="str">
        <f t="shared" si="8"/>
        <v>61.36</v>
      </c>
      <c r="E55" s="11" t="str">
        <f t="shared" si="9"/>
        <v>176.60</v>
      </c>
      <c r="F55" s="11" t="str">
        <f t="shared" si="10"/>
        <v>79.21</v>
      </c>
      <c r="G55" s="11" t="str">
        <f t="shared" si="11"/>
        <v>175.80</v>
      </c>
      <c r="H55" s="11" t="str">
        <f t="shared" si="12"/>
        <v>94.09</v>
      </c>
    </row>
    <row r="56" ht="14.25" customHeight="1">
      <c r="A56" s="6">
        <v>18.0</v>
      </c>
      <c r="B56" s="8" t="str">
        <f>Data!E21</f>
        <v>181.6</v>
      </c>
      <c r="C56" s="11" t="str">
        <f t="shared" si="7"/>
        <v>182.67</v>
      </c>
      <c r="D56" s="11" t="str">
        <f t="shared" si="8"/>
        <v>1.14</v>
      </c>
      <c r="E56" s="11" t="str">
        <f t="shared" si="9"/>
        <v>179.63</v>
      </c>
      <c r="F56" s="11" t="str">
        <f t="shared" si="10"/>
        <v>3.90</v>
      </c>
      <c r="G56" s="11" t="str">
        <f t="shared" si="11"/>
        <v>178.38</v>
      </c>
      <c r="H56" s="11" t="str">
        <f t="shared" si="12"/>
        <v>10.37</v>
      </c>
    </row>
    <row r="57" ht="14.25" customHeight="1">
      <c r="A57" s="6">
        <v>19.0</v>
      </c>
      <c r="B57" s="8" t="str">
        <f>Data!E22</f>
        <v>189.1</v>
      </c>
      <c r="C57" s="11" t="str">
        <f t="shared" si="7"/>
        <v>184.70</v>
      </c>
      <c r="D57" s="11" t="str">
        <f t="shared" si="8"/>
        <v>19.36</v>
      </c>
      <c r="E57" s="11" t="str">
        <f t="shared" si="9"/>
        <v>182.40</v>
      </c>
      <c r="F57" s="11" t="str">
        <f t="shared" si="10"/>
        <v>44.89</v>
      </c>
      <c r="G57" s="11" t="str">
        <f t="shared" si="11"/>
        <v>180.02</v>
      </c>
      <c r="H57" s="11" t="str">
        <f t="shared" si="12"/>
        <v>82.45</v>
      </c>
    </row>
    <row r="58" ht="14.25" customHeight="1">
      <c r="A58" s="6">
        <v>20.0</v>
      </c>
      <c r="B58" s="8" t="str">
        <f>Data!E23</f>
        <v>192.9</v>
      </c>
      <c r="C58" s="11" t="str">
        <f t="shared" si="7"/>
        <v>185.40</v>
      </c>
      <c r="D58" s="11" t="str">
        <f t="shared" si="8"/>
        <v>56.25</v>
      </c>
      <c r="E58" s="11" t="str">
        <f t="shared" si="9"/>
        <v>185.80</v>
      </c>
      <c r="F58" s="11" t="str">
        <f t="shared" si="10"/>
        <v>50.41</v>
      </c>
      <c r="G58" s="11" t="str">
        <f t="shared" si="11"/>
        <v>183.74</v>
      </c>
      <c r="H58" s="11" t="str">
        <f t="shared" si="12"/>
        <v>83.91</v>
      </c>
    </row>
    <row r="59" ht="14.25" customHeight="1">
      <c r="A59" s="6">
        <v>21.0</v>
      </c>
      <c r="B59" s="8" t="str">
        <f>Data!E24</f>
        <v>196.7</v>
      </c>
      <c r="C59" s="11" t="str">
        <f t="shared" si="7"/>
        <v>187.87</v>
      </c>
      <c r="D59" s="11" t="str">
        <f t="shared" si="8"/>
        <v>78.03</v>
      </c>
      <c r="E59" s="11" t="str">
        <f t="shared" si="9"/>
        <v>187.28</v>
      </c>
      <c r="F59" s="11" t="str">
        <f t="shared" si="10"/>
        <v>88.83</v>
      </c>
      <c r="G59" s="11" t="str">
        <f t="shared" si="11"/>
        <v>187.22</v>
      </c>
      <c r="H59" s="11" t="str">
        <f t="shared" si="12"/>
        <v>89.87</v>
      </c>
    </row>
    <row r="60" ht="14.25" customHeight="1">
      <c r="A60" s="6">
        <v>22.0</v>
      </c>
      <c r="B60" s="8" t="str">
        <f>Data!E25</f>
        <v>194.1</v>
      </c>
      <c r="C60" s="11" t="str">
        <f t="shared" si="7"/>
        <v>192.90</v>
      </c>
      <c r="D60" s="11" t="str">
        <f t="shared" si="8"/>
        <v>1.44</v>
      </c>
      <c r="E60" s="11" t="str">
        <f t="shared" si="9"/>
        <v>190.08</v>
      </c>
      <c r="F60" s="11" t="str">
        <f t="shared" si="10"/>
        <v>16.20</v>
      </c>
      <c r="G60" s="11" t="str">
        <f t="shared" si="11"/>
        <v>189.16</v>
      </c>
      <c r="H60" s="11" t="str">
        <f t="shared" si="12"/>
        <v>24.40</v>
      </c>
    </row>
    <row r="61" ht="14.25" customHeight="1">
      <c r="A61" s="6">
        <v>23.0</v>
      </c>
      <c r="B61" s="8" t="str">
        <f>Data!E26</f>
        <v>187.5</v>
      </c>
      <c r="C61" s="11" t="str">
        <f t="shared" si="7"/>
        <v>194.57</v>
      </c>
      <c r="D61" s="11" t="str">
        <f t="shared" si="8"/>
        <v>49.94</v>
      </c>
      <c r="E61" s="11" t="str">
        <f t="shared" si="9"/>
        <v>193.20</v>
      </c>
      <c r="F61" s="11" t="str">
        <f t="shared" si="10"/>
        <v>32.49</v>
      </c>
      <c r="G61" s="11" t="str">
        <f t="shared" si="11"/>
        <v>190.88</v>
      </c>
      <c r="H61" s="11" t="str">
        <f t="shared" si="12"/>
        <v>11.42</v>
      </c>
    </row>
    <row r="62" ht="14.25" customHeight="1">
      <c r="A62" s="6">
        <v>24.0</v>
      </c>
      <c r="B62" s="8" t="str">
        <f>Data!E27</f>
        <v>192.9</v>
      </c>
      <c r="C62" s="11" t="str">
        <f t="shared" si="7"/>
        <v>192.77</v>
      </c>
      <c r="D62" s="11" t="str">
        <f t="shared" si="8"/>
        <v>0.02</v>
      </c>
      <c r="E62" s="11" t="str">
        <f t="shared" si="9"/>
        <v>192.80</v>
      </c>
      <c r="F62" s="11" t="str">
        <f t="shared" si="10"/>
        <v>0.01</v>
      </c>
      <c r="G62" s="11" t="str">
        <f t="shared" si="11"/>
        <v>192.06</v>
      </c>
      <c r="H62" s="11" t="str">
        <f t="shared" si="12"/>
        <v>0.71</v>
      </c>
    </row>
    <row r="63" ht="14.25" customHeight="1"/>
    <row r="64" ht="14.25" customHeight="1">
      <c r="A64" s="2" t="s">
        <v>16</v>
      </c>
      <c r="D64" s="12" t="str">
        <f>AVERAGE(D39:D62)</f>
        <v>31.035</v>
      </c>
      <c r="F64" s="12" t="str">
        <f>AVERAGE(F39:F62)</f>
        <v>33.949</v>
      </c>
      <c r="H64" s="12" t="str">
        <f>AVERAGE(H39:H62)</f>
        <v>43.133</v>
      </c>
    </row>
    <row r="65" ht="14.25" customHeight="1">
      <c r="A65" s="2" t="s">
        <v>17</v>
      </c>
      <c r="D65" s="12" t="str">
        <f>SUMPRODUCT(SQRT(D39:D62))/COUNT(D39:D62)</f>
        <v>4.551</v>
      </c>
      <c r="F65" s="12" t="str">
        <f>SUMPRODUCT(SQRT(F39:F62))/COUNT(F39:F62)</f>
        <v>4.761</v>
      </c>
      <c r="H65" s="12" t="str">
        <f>SUMPRODUCT(SQRT(H39:H62))/COUNT(H39:H62)</f>
        <v>5.351</v>
      </c>
    </row>
    <row r="66" ht="14.25" customHeight="1">
      <c r="A66" s="2" t="s">
        <v>18</v>
      </c>
      <c r="D66" s="13" t="str">
        <f>SUMPRODUCT(SQRT(D39:D62)/B39:B62)/COUNT(D39:D62)*100</f>
        <v>2.54</v>
      </c>
      <c r="F66" s="13" t="str">
        <f>SUMPRODUCT(SQRT(F39:F62)/B39:B62)/COUNT(F39:F62)*100</f>
        <v>2.63</v>
      </c>
      <c r="H66" s="13" t="str">
        <f>SUMPRODUCT(SQRT(H39:H62)/B39:B62)/COUNT(H39:H62)*100</f>
        <v>2.94</v>
      </c>
    </row>
    <row r="67" ht="14.25" customHeight="1">
      <c r="A67" s="2" t="s">
        <v>19</v>
      </c>
      <c r="B67" s="14" t="str">
        <f>IF(D64=MIN(D64,F64,H64),3,IF(F64=MIN(D64,F64,H64),4,5))</f>
        <v>3</v>
      </c>
    </row>
    <row r="68" ht="14.25" customHeight="1">
      <c r="A68" s="2" t="s">
        <v>20</v>
      </c>
      <c r="B68" s="15" t="str">
        <f>MIN(D64,F64,H64)</f>
        <v>31.035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4" width="13.0"/>
    <col customWidth="1" min="5" max="7" width="10.0"/>
    <col customWidth="1" min="8" max="11" width="8.71"/>
  </cols>
  <sheetData>
    <row r="1" ht="14.25" customHeight="1">
      <c r="A1" s="9" t="s">
        <v>22</v>
      </c>
    </row>
    <row r="2" ht="14.25" customHeight="1">
      <c r="A2" s="16"/>
    </row>
    <row r="3" ht="14.25" customHeight="1"/>
    <row r="4" ht="14.25" customHeight="1">
      <c r="A4" s="10" t="s">
        <v>8</v>
      </c>
    </row>
    <row r="5" ht="14.25" customHeight="1">
      <c r="A5" s="2" t="s">
        <v>23</v>
      </c>
    </row>
    <row r="6" ht="14.25" customHeight="1">
      <c r="A6" s="5" t="s">
        <v>2</v>
      </c>
      <c r="B6" s="5" t="s">
        <v>9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</row>
    <row r="7" ht="14.25" customHeight="1">
      <c r="A7" s="6">
        <v>1.0</v>
      </c>
      <c r="B7" s="11" t="str">
        <f>Data!C4</f>
        <v>107.00</v>
      </c>
      <c r="C7" s="11"/>
      <c r="D7" s="11"/>
      <c r="E7" s="11"/>
      <c r="F7" s="11"/>
      <c r="G7" s="11"/>
    </row>
    <row r="8" ht="14.25" customHeight="1">
      <c r="A8" s="6">
        <v>2.0</v>
      </c>
      <c r="B8" s="11" t="str">
        <f>Data!C5</f>
        <v>82.00</v>
      </c>
      <c r="C8" s="11"/>
      <c r="D8" s="11"/>
      <c r="E8" s="11"/>
      <c r="F8" s="11"/>
      <c r="G8" s="11"/>
    </row>
    <row r="9" ht="14.25" customHeight="1">
      <c r="A9" s="6">
        <v>3.0</v>
      </c>
      <c r="B9" s="11" t="str">
        <f>Data!C6</f>
        <v>97.00</v>
      </c>
      <c r="C9" s="11" t="str">
        <f t="shared" ref="C9:C30" si="1">AVERAGE(B7:B9)</f>
        <v>95.33</v>
      </c>
      <c r="D9" s="11"/>
      <c r="E9" s="11"/>
      <c r="F9" s="11"/>
      <c r="G9" s="11"/>
    </row>
    <row r="10" ht="14.25" customHeight="1">
      <c r="A10" s="6">
        <v>4.0</v>
      </c>
      <c r="B10" s="11" t="str">
        <f>Data!C7</f>
        <v>92.00</v>
      </c>
      <c r="C10" s="11" t="str">
        <f t="shared" si="1"/>
        <v>90.33</v>
      </c>
      <c r="D10" s="11"/>
      <c r="E10" s="11"/>
      <c r="F10" s="11"/>
      <c r="G10" s="11"/>
    </row>
    <row r="11" ht="14.25" customHeight="1">
      <c r="A11" s="6">
        <v>5.0</v>
      </c>
      <c r="B11" s="11" t="str">
        <f>Data!C8</f>
        <v>102.00</v>
      </c>
      <c r="C11" s="11" t="str">
        <f t="shared" si="1"/>
        <v>97.00</v>
      </c>
      <c r="D11" s="11" t="str">
        <f t="shared" ref="D11:D30" si="2">AVERAGE(C9:C11)</f>
        <v>94.22</v>
      </c>
      <c r="E11" s="11" t="str">
        <f t="shared" ref="E11:E30" si="3">2*C11-D11</f>
        <v>99.78</v>
      </c>
      <c r="F11" s="11" t="str">
        <f t="shared" ref="F11:F30" si="4">(2/(3-1))*(C11-D11)</f>
        <v>2.78</v>
      </c>
      <c r="G11" s="11" t="str">
        <f t="shared" ref="G11:G30" si="5">E11+F11*1</f>
        <v>102.56</v>
      </c>
    </row>
    <row r="12" ht="14.25" customHeight="1">
      <c r="A12" s="6">
        <v>6.0</v>
      </c>
      <c r="B12" s="11" t="str">
        <f>Data!C9</f>
        <v>92.00</v>
      </c>
      <c r="C12" s="11" t="str">
        <f t="shared" si="1"/>
        <v>95.33</v>
      </c>
      <c r="D12" s="11" t="str">
        <f t="shared" si="2"/>
        <v>94.22</v>
      </c>
      <c r="E12" s="11" t="str">
        <f t="shared" si="3"/>
        <v>96.44</v>
      </c>
      <c r="F12" s="11" t="str">
        <f t="shared" si="4"/>
        <v>1.11</v>
      </c>
      <c r="G12" s="11" t="str">
        <f t="shared" si="5"/>
        <v>97.56</v>
      </c>
    </row>
    <row r="13" ht="14.25" customHeight="1">
      <c r="A13" s="6">
        <v>7.0</v>
      </c>
      <c r="B13" s="11" t="str">
        <f>Data!C10</f>
        <v>87.00</v>
      </c>
      <c r="C13" s="11" t="str">
        <f t="shared" si="1"/>
        <v>93.67</v>
      </c>
      <c r="D13" s="11" t="str">
        <f t="shared" si="2"/>
        <v>95.33</v>
      </c>
      <c r="E13" s="11" t="str">
        <f t="shared" si="3"/>
        <v>92.00</v>
      </c>
      <c r="F13" s="11" t="str">
        <f t="shared" si="4"/>
        <v>-1.67</v>
      </c>
      <c r="G13" s="11" t="str">
        <f t="shared" si="5"/>
        <v>90.33</v>
      </c>
    </row>
    <row r="14" ht="14.25" customHeight="1">
      <c r="A14" s="6">
        <v>8.0</v>
      </c>
      <c r="B14" s="11" t="str">
        <f>Data!C11</f>
        <v>87.00</v>
      </c>
      <c r="C14" s="11" t="str">
        <f t="shared" si="1"/>
        <v>88.67</v>
      </c>
      <c r="D14" s="11" t="str">
        <f t="shared" si="2"/>
        <v>92.56</v>
      </c>
      <c r="E14" s="11" t="str">
        <f t="shared" si="3"/>
        <v>84.78</v>
      </c>
      <c r="F14" s="11" t="str">
        <f t="shared" si="4"/>
        <v>-3.89</v>
      </c>
      <c r="G14" s="11" t="str">
        <f t="shared" si="5"/>
        <v>80.89</v>
      </c>
    </row>
    <row r="15" ht="14.25" customHeight="1">
      <c r="A15" s="6">
        <v>9.0</v>
      </c>
      <c r="B15" s="11" t="str">
        <f>Data!C12</f>
        <v>97.00</v>
      </c>
      <c r="C15" s="11" t="str">
        <f t="shared" si="1"/>
        <v>90.33</v>
      </c>
      <c r="D15" s="11" t="str">
        <f t="shared" si="2"/>
        <v>90.89</v>
      </c>
      <c r="E15" s="11" t="str">
        <f t="shared" si="3"/>
        <v>89.78</v>
      </c>
      <c r="F15" s="11" t="str">
        <f t="shared" si="4"/>
        <v>-0.56</v>
      </c>
      <c r="G15" s="11" t="str">
        <f t="shared" si="5"/>
        <v>89.22</v>
      </c>
    </row>
    <row r="16" ht="14.25" customHeight="1">
      <c r="A16" s="6">
        <v>10.0</v>
      </c>
      <c r="B16" s="11" t="str">
        <f>Data!C13</f>
        <v>97.00</v>
      </c>
      <c r="C16" s="11" t="str">
        <f t="shared" si="1"/>
        <v>93.67</v>
      </c>
      <c r="D16" s="11" t="str">
        <f t="shared" si="2"/>
        <v>90.89</v>
      </c>
      <c r="E16" s="11" t="str">
        <f t="shared" si="3"/>
        <v>96.44</v>
      </c>
      <c r="F16" s="11" t="str">
        <f t="shared" si="4"/>
        <v>2.78</v>
      </c>
      <c r="G16" s="11" t="str">
        <f t="shared" si="5"/>
        <v>99.22</v>
      </c>
    </row>
    <row r="17" ht="14.25" customHeight="1">
      <c r="A17" s="6">
        <v>11.0</v>
      </c>
      <c r="B17" s="11" t="str">
        <f>Data!C14</f>
        <v>87.00</v>
      </c>
      <c r="C17" s="11" t="str">
        <f t="shared" si="1"/>
        <v>93.67</v>
      </c>
      <c r="D17" s="11" t="str">
        <f t="shared" si="2"/>
        <v>92.56</v>
      </c>
      <c r="E17" s="11" t="str">
        <f t="shared" si="3"/>
        <v>94.78</v>
      </c>
      <c r="F17" s="11" t="str">
        <f t="shared" si="4"/>
        <v>1.11</v>
      </c>
      <c r="G17" s="11" t="str">
        <f t="shared" si="5"/>
        <v>95.89</v>
      </c>
    </row>
    <row r="18" ht="14.25" customHeight="1">
      <c r="A18" s="6">
        <v>12.0</v>
      </c>
      <c r="B18" s="11" t="str">
        <f>Data!C15</f>
        <v>102.00</v>
      </c>
      <c r="C18" s="11" t="str">
        <f t="shared" si="1"/>
        <v>95.33</v>
      </c>
      <c r="D18" s="11" t="str">
        <f t="shared" si="2"/>
        <v>94.22</v>
      </c>
      <c r="E18" s="11" t="str">
        <f t="shared" si="3"/>
        <v>96.44</v>
      </c>
      <c r="F18" s="11" t="str">
        <f t="shared" si="4"/>
        <v>1.11</v>
      </c>
      <c r="G18" s="11" t="str">
        <f t="shared" si="5"/>
        <v>97.56</v>
      </c>
    </row>
    <row r="19" ht="14.25" customHeight="1">
      <c r="A19" s="6">
        <v>13.0</v>
      </c>
      <c r="B19" s="11" t="str">
        <f>Data!C16</f>
        <v>97.00</v>
      </c>
      <c r="C19" s="11" t="str">
        <f t="shared" si="1"/>
        <v>95.33</v>
      </c>
      <c r="D19" s="11" t="str">
        <f t="shared" si="2"/>
        <v>94.78</v>
      </c>
      <c r="E19" s="11" t="str">
        <f t="shared" si="3"/>
        <v>95.89</v>
      </c>
      <c r="F19" s="11" t="str">
        <f t="shared" si="4"/>
        <v>0.56</v>
      </c>
      <c r="G19" s="11" t="str">
        <f t="shared" si="5"/>
        <v>96.44</v>
      </c>
    </row>
    <row r="20" ht="14.25" customHeight="1">
      <c r="A20" s="6">
        <v>14.0</v>
      </c>
      <c r="B20" s="11" t="str">
        <f>Data!C17</f>
        <v>87.00</v>
      </c>
      <c r="C20" s="11" t="str">
        <f t="shared" si="1"/>
        <v>95.33</v>
      </c>
      <c r="D20" s="11" t="str">
        <f t="shared" si="2"/>
        <v>95.33</v>
      </c>
      <c r="E20" s="11" t="str">
        <f t="shared" si="3"/>
        <v>95.33</v>
      </c>
      <c r="F20" s="11" t="str">
        <f t="shared" si="4"/>
        <v>0.00</v>
      </c>
      <c r="G20" s="11" t="str">
        <f t="shared" si="5"/>
        <v>95.33</v>
      </c>
    </row>
    <row r="21" ht="14.25" customHeight="1">
      <c r="A21" s="6">
        <v>15.0</v>
      </c>
      <c r="B21" s="11" t="str">
        <f>Data!C18</f>
        <v>92.00</v>
      </c>
      <c r="C21" s="11" t="str">
        <f t="shared" si="1"/>
        <v>92.00</v>
      </c>
      <c r="D21" s="11" t="str">
        <f t="shared" si="2"/>
        <v>94.22</v>
      </c>
      <c r="E21" s="11" t="str">
        <f t="shared" si="3"/>
        <v>89.78</v>
      </c>
      <c r="F21" s="11" t="str">
        <f t="shared" si="4"/>
        <v>-2.22</v>
      </c>
      <c r="G21" s="11" t="str">
        <f t="shared" si="5"/>
        <v>87.56</v>
      </c>
    </row>
    <row r="22" ht="14.25" customHeight="1">
      <c r="A22" s="6">
        <v>16.0</v>
      </c>
      <c r="B22" s="11" t="str">
        <f>Data!C19</f>
        <v>107.00</v>
      </c>
      <c r="C22" s="11" t="str">
        <f t="shared" si="1"/>
        <v>95.33</v>
      </c>
      <c r="D22" s="11" t="str">
        <f t="shared" si="2"/>
        <v>94.22</v>
      </c>
      <c r="E22" s="11" t="str">
        <f t="shared" si="3"/>
        <v>96.44</v>
      </c>
      <c r="F22" s="11" t="str">
        <f t="shared" si="4"/>
        <v>1.11</v>
      </c>
      <c r="G22" s="11" t="str">
        <f t="shared" si="5"/>
        <v>97.56</v>
      </c>
    </row>
    <row r="23" ht="14.25" customHeight="1">
      <c r="A23" s="6">
        <v>17.0</v>
      </c>
      <c r="B23" s="11" t="str">
        <f>Data!C20</f>
        <v>97.00</v>
      </c>
      <c r="C23" s="11" t="str">
        <f t="shared" si="1"/>
        <v>98.67</v>
      </c>
      <c r="D23" s="11" t="str">
        <f t="shared" si="2"/>
        <v>95.33</v>
      </c>
      <c r="E23" s="11" t="str">
        <f t="shared" si="3"/>
        <v>102.00</v>
      </c>
      <c r="F23" s="11" t="str">
        <f t="shared" si="4"/>
        <v>3.33</v>
      </c>
      <c r="G23" s="11" t="str">
        <f t="shared" si="5"/>
        <v>105.33</v>
      </c>
    </row>
    <row r="24" ht="14.25" customHeight="1">
      <c r="A24" s="6">
        <v>18.0</v>
      </c>
      <c r="B24" s="11" t="str">
        <f>Data!C21</f>
        <v>87.00</v>
      </c>
      <c r="C24" s="11" t="str">
        <f t="shared" si="1"/>
        <v>97.00</v>
      </c>
      <c r="D24" s="11" t="str">
        <f t="shared" si="2"/>
        <v>97.00</v>
      </c>
      <c r="E24" s="11" t="str">
        <f t="shared" si="3"/>
        <v>97.00</v>
      </c>
      <c r="F24" s="11" t="str">
        <f t="shared" si="4"/>
        <v>0.00</v>
      </c>
      <c r="G24" s="11" t="str">
        <f t="shared" si="5"/>
        <v>97.00</v>
      </c>
    </row>
    <row r="25" ht="14.25" customHeight="1">
      <c r="A25" s="6">
        <v>19.0</v>
      </c>
      <c r="B25" s="11" t="str">
        <f>Data!C22</f>
        <v>97.00</v>
      </c>
      <c r="C25" s="11" t="str">
        <f t="shared" si="1"/>
        <v>93.67</v>
      </c>
      <c r="D25" s="11" t="str">
        <f t="shared" si="2"/>
        <v>96.44</v>
      </c>
      <c r="E25" s="11" t="str">
        <f t="shared" si="3"/>
        <v>90.89</v>
      </c>
      <c r="F25" s="11" t="str">
        <f t="shared" si="4"/>
        <v>-2.78</v>
      </c>
      <c r="G25" s="11" t="str">
        <f t="shared" si="5"/>
        <v>88.11</v>
      </c>
    </row>
    <row r="26" ht="14.25" customHeight="1">
      <c r="A26" s="6">
        <v>20.0</v>
      </c>
      <c r="B26" s="11" t="str">
        <f>Data!C23</f>
        <v>102.00</v>
      </c>
      <c r="C26" s="11" t="str">
        <f t="shared" si="1"/>
        <v>95.33</v>
      </c>
      <c r="D26" s="11" t="str">
        <f t="shared" si="2"/>
        <v>95.33</v>
      </c>
      <c r="E26" s="11" t="str">
        <f t="shared" si="3"/>
        <v>95.33</v>
      </c>
      <c r="F26" s="11" t="str">
        <f t="shared" si="4"/>
        <v>0.00</v>
      </c>
      <c r="G26" s="11" t="str">
        <f t="shared" si="5"/>
        <v>95.33</v>
      </c>
    </row>
    <row r="27" ht="14.25" customHeight="1">
      <c r="A27" s="6">
        <v>21.0</v>
      </c>
      <c r="B27" s="11" t="str">
        <f>Data!C24</f>
        <v>107.00</v>
      </c>
      <c r="C27" s="11" t="str">
        <f t="shared" si="1"/>
        <v>102.00</v>
      </c>
      <c r="D27" s="11" t="str">
        <f t="shared" si="2"/>
        <v>97.00</v>
      </c>
      <c r="E27" s="11" t="str">
        <f t="shared" si="3"/>
        <v>107.00</v>
      </c>
      <c r="F27" s="11" t="str">
        <f t="shared" si="4"/>
        <v>5.00</v>
      </c>
      <c r="G27" s="11" t="str">
        <f t="shared" si="5"/>
        <v>112.00</v>
      </c>
    </row>
    <row r="28" ht="14.25" customHeight="1">
      <c r="A28" s="6">
        <v>22.0</v>
      </c>
      <c r="B28" s="11" t="str">
        <f>Data!C25</f>
        <v>97.00</v>
      </c>
      <c r="C28" s="11" t="str">
        <f t="shared" si="1"/>
        <v>102.00</v>
      </c>
      <c r="D28" s="11" t="str">
        <f t="shared" si="2"/>
        <v>99.78</v>
      </c>
      <c r="E28" s="11" t="str">
        <f t="shared" si="3"/>
        <v>104.22</v>
      </c>
      <c r="F28" s="11" t="str">
        <f t="shared" si="4"/>
        <v>2.22</v>
      </c>
      <c r="G28" s="11" t="str">
        <f t="shared" si="5"/>
        <v>106.44</v>
      </c>
    </row>
    <row r="29" ht="14.25" customHeight="1">
      <c r="A29" s="6">
        <v>23.0</v>
      </c>
      <c r="B29" s="11" t="str">
        <f>Data!C26</f>
        <v>82.00</v>
      </c>
      <c r="C29" s="11" t="str">
        <f t="shared" si="1"/>
        <v>95.33</v>
      </c>
      <c r="D29" s="11" t="str">
        <f t="shared" si="2"/>
        <v>99.78</v>
      </c>
      <c r="E29" s="11" t="str">
        <f t="shared" si="3"/>
        <v>90.89</v>
      </c>
      <c r="F29" s="11" t="str">
        <f t="shared" si="4"/>
        <v>-4.44</v>
      </c>
      <c r="G29" s="11" t="str">
        <f t="shared" si="5"/>
        <v>86.44</v>
      </c>
    </row>
    <row r="30" ht="14.25" customHeight="1">
      <c r="A30" s="6">
        <v>24.0</v>
      </c>
      <c r="B30" s="11" t="str">
        <f>Data!C27</f>
        <v>87.00</v>
      </c>
      <c r="C30" s="11" t="str">
        <f t="shared" si="1"/>
        <v>88.67</v>
      </c>
      <c r="D30" s="11" t="str">
        <f t="shared" si="2"/>
        <v>95.33</v>
      </c>
      <c r="E30" s="11" t="str">
        <f t="shared" si="3"/>
        <v>82.00</v>
      </c>
      <c r="F30" s="11" t="str">
        <f t="shared" si="4"/>
        <v>-6.67</v>
      </c>
      <c r="G30" s="11" t="str">
        <f t="shared" si="5"/>
        <v>75.33</v>
      </c>
    </row>
    <row r="31" ht="14.25" customHeight="1">
      <c r="A31" s="2" t="s">
        <v>16</v>
      </c>
      <c r="G31" s="12" t="str">
        <f>SUMPRODUCT((B12:B30-G11:G29)^2)/COUNT(G11:G29)</f>
        <v>142.511</v>
      </c>
    </row>
    <row r="32" ht="14.25" customHeight="1">
      <c r="A32" s="2" t="s">
        <v>17</v>
      </c>
      <c r="G32" s="12" t="str">
        <f>SUMPRODUCT(ABS(B12:B30-G11:G29))/COUNT(G11:G29)</f>
        <v>9.678</v>
      </c>
    </row>
    <row r="33" ht="14.25" customHeight="1">
      <c r="A33" s="2" t="s">
        <v>18</v>
      </c>
      <c r="G33" s="13" t="str">
        <f>SUMPRODUCT(ABS(B12:B30-G11:G29)/B12:B30)/COUNT(G11:G29)*100</f>
        <v>10.39</v>
      </c>
    </row>
    <row r="34" ht="14.25" customHeight="1">
      <c r="A34" s="2" t="s">
        <v>29</v>
      </c>
      <c r="G34" s="13" t="str">
        <f>G30</f>
        <v>75.33</v>
      </c>
    </row>
    <row r="35" ht="14.25" customHeight="1"/>
    <row r="36" ht="14.25" customHeight="1">
      <c r="A36" s="2" t="s">
        <v>30</v>
      </c>
    </row>
    <row r="37" ht="14.25" customHeight="1">
      <c r="A37" s="5" t="s">
        <v>2</v>
      </c>
      <c r="B37" s="5" t="s">
        <v>9</v>
      </c>
      <c r="C37" s="5" t="s">
        <v>24</v>
      </c>
      <c r="D37" s="5" t="s">
        <v>25</v>
      </c>
      <c r="E37" s="5" t="s">
        <v>26</v>
      </c>
      <c r="F37" s="5" t="s">
        <v>27</v>
      </c>
      <c r="G37" s="5" t="s">
        <v>28</v>
      </c>
    </row>
    <row r="38" ht="14.25" customHeight="1">
      <c r="A38" s="6">
        <v>1.0</v>
      </c>
      <c r="B38" s="11" t="str">
        <f>Data!C4</f>
        <v>107.00</v>
      </c>
      <c r="C38" s="11"/>
      <c r="D38" s="11"/>
      <c r="E38" s="11"/>
      <c r="F38" s="11"/>
      <c r="G38" s="11"/>
    </row>
    <row r="39" ht="14.25" customHeight="1">
      <c r="A39" s="6">
        <v>2.0</v>
      </c>
      <c r="B39" s="11" t="str">
        <f>Data!C5</f>
        <v>82.00</v>
      </c>
      <c r="C39" s="11"/>
      <c r="D39" s="11"/>
      <c r="E39" s="11"/>
      <c r="F39" s="11"/>
      <c r="G39" s="11"/>
    </row>
    <row r="40" ht="14.25" customHeight="1">
      <c r="A40" s="6">
        <v>3.0</v>
      </c>
      <c r="B40" s="11" t="str">
        <f>Data!C6</f>
        <v>97.00</v>
      </c>
      <c r="C40" s="11"/>
      <c r="D40" s="11"/>
      <c r="E40" s="11"/>
      <c r="F40" s="11"/>
      <c r="G40" s="11"/>
    </row>
    <row r="41" ht="14.25" customHeight="1">
      <c r="A41" s="6">
        <v>4.0</v>
      </c>
      <c r="B41" s="11" t="str">
        <f>Data!C7</f>
        <v>92.00</v>
      </c>
      <c r="C41" s="11" t="str">
        <f t="shared" ref="C41:C61" si="6">AVERAGE(B38:B41)</f>
        <v>94.50</v>
      </c>
      <c r="D41" s="11"/>
      <c r="E41" s="11"/>
      <c r="F41" s="11"/>
      <c r="G41" s="11"/>
    </row>
    <row r="42" ht="14.25" customHeight="1">
      <c r="A42" s="6">
        <v>5.0</v>
      </c>
      <c r="B42" s="11" t="str">
        <f>Data!C8</f>
        <v>102.00</v>
      </c>
      <c r="C42" s="11" t="str">
        <f t="shared" si="6"/>
        <v>93.25</v>
      </c>
      <c r="D42" s="11"/>
      <c r="E42" s="11"/>
      <c r="F42" s="11"/>
      <c r="G42" s="11"/>
    </row>
    <row r="43" ht="14.25" customHeight="1">
      <c r="A43" s="6">
        <v>6.0</v>
      </c>
      <c r="B43" s="11" t="str">
        <f>Data!C9</f>
        <v>92.00</v>
      </c>
      <c r="C43" s="11" t="str">
        <f t="shared" si="6"/>
        <v>95.75</v>
      </c>
      <c r="D43" s="11"/>
      <c r="E43" s="11"/>
      <c r="F43" s="11"/>
      <c r="G43" s="11"/>
    </row>
    <row r="44" ht="14.25" customHeight="1">
      <c r="A44" s="6">
        <v>7.0</v>
      </c>
      <c r="B44" s="11" t="str">
        <f>Data!C10</f>
        <v>87.00</v>
      </c>
      <c r="C44" s="11" t="str">
        <f t="shared" si="6"/>
        <v>93.25</v>
      </c>
      <c r="D44" s="11" t="str">
        <f t="shared" ref="D44:D61" si="7">AVERAGE(C41:C44)</f>
        <v>94.19</v>
      </c>
      <c r="E44" s="11" t="str">
        <f t="shared" ref="E44:E61" si="8">2*C44-D44</f>
        <v>92.31</v>
      </c>
      <c r="F44" s="11" t="str">
        <f t="shared" ref="F44:F61" si="9">(2/(4-1))*(C44-D44)</f>
        <v>-0.63</v>
      </c>
      <c r="G44" s="11" t="str">
        <f t="shared" ref="G44:G61" si="10">E44+F44*1</f>
        <v>91.69</v>
      </c>
    </row>
    <row r="45" ht="14.25" customHeight="1">
      <c r="A45" s="6">
        <v>8.0</v>
      </c>
      <c r="B45" s="11" t="str">
        <f>Data!C11</f>
        <v>87.00</v>
      </c>
      <c r="C45" s="11" t="str">
        <f t="shared" si="6"/>
        <v>92.00</v>
      </c>
      <c r="D45" s="11" t="str">
        <f t="shared" si="7"/>
        <v>93.56</v>
      </c>
      <c r="E45" s="11" t="str">
        <f t="shared" si="8"/>
        <v>90.44</v>
      </c>
      <c r="F45" s="11" t="str">
        <f t="shared" si="9"/>
        <v>-1.04</v>
      </c>
      <c r="G45" s="11" t="str">
        <f t="shared" si="10"/>
        <v>89.40</v>
      </c>
    </row>
    <row r="46" ht="14.25" customHeight="1">
      <c r="A46" s="6">
        <v>9.0</v>
      </c>
      <c r="B46" s="11" t="str">
        <f>Data!C12</f>
        <v>97.00</v>
      </c>
      <c r="C46" s="11" t="str">
        <f t="shared" si="6"/>
        <v>90.75</v>
      </c>
      <c r="D46" s="11" t="str">
        <f t="shared" si="7"/>
        <v>92.94</v>
      </c>
      <c r="E46" s="11" t="str">
        <f t="shared" si="8"/>
        <v>88.56</v>
      </c>
      <c r="F46" s="11" t="str">
        <f t="shared" si="9"/>
        <v>-1.46</v>
      </c>
      <c r="G46" s="11" t="str">
        <f t="shared" si="10"/>
        <v>87.10</v>
      </c>
    </row>
    <row r="47" ht="14.25" customHeight="1">
      <c r="A47" s="6">
        <v>10.0</v>
      </c>
      <c r="B47" s="11" t="str">
        <f>Data!C13</f>
        <v>97.00</v>
      </c>
      <c r="C47" s="11" t="str">
        <f t="shared" si="6"/>
        <v>92.00</v>
      </c>
      <c r="D47" s="11" t="str">
        <f t="shared" si="7"/>
        <v>92.00</v>
      </c>
      <c r="E47" s="11" t="str">
        <f t="shared" si="8"/>
        <v>92.00</v>
      </c>
      <c r="F47" s="11" t="str">
        <f t="shared" si="9"/>
        <v>0.00</v>
      </c>
      <c r="G47" s="11" t="str">
        <f t="shared" si="10"/>
        <v>92.00</v>
      </c>
    </row>
    <row r="48" ht="14.25" customHeight="1">
      <c r="A48" s="6">
        <v>11.0</v>
      </c>
      <c r="B48" s="11" t="str">
        <f>Data!C14</f>
        <v>87.00</v>
      </c>
      <c r="C48" s="11" t="str">
        <f t="shared" si="6"/>
        <v>92.00</v>
      </c>
      <c r="D48" s="11" t="str">
        <f t="shared" si="7"/>
        <v>91.69</v>
      </c>
      <c r="E48" s="11" t="str">
        <f t="shared" si="8"/>
        <v>92.31</v>
      </c>
      <c r="F48" s="11" t="str">
        <f t="shared" si="9"/>
        <v>0.21</v>
      </c>
      <c r="G48" s="11" t="str">
        <f t="shared" si="10"/>
        <v>92.52</v>
      </c>
    </row>
    <row r="49" ht="14.25" customHeight="1">
      <c r="A49" s="6">
        <v>12.0</v>
      </c>
      <c r="B49" s="11" t="str">
        <f>Data!C15</f>
        <v>102.00</v>
      </c>
      <c r="C49" s="11" t="str">
        <f t="shared" si="6"/>
        <v>95.75</v>
      </c>
      <c r="D49" s="11" t="str">
        <f t="shared" si="7"/>
        <v>92.63</v>
      </c>
      <c r="E49" s="11" t="str">
        <f t="shared" si="8"/>
        <v>98.88</v>
      </c>
      <c r="F49" s="11" t="str">
        <f t="shared" si="9"/>
        <v>2.08</v>
      </c>
      <c r="G49" s="11" t="str">
        <f t="shared" si="10"/>
        <v>100.96</v>
      </c>
    </row>
    <row r="50" ht="14.25" customHeight="1">
      <c r="A50" s="6">
        <v>13.0</v>
      </c>
      <c r="B50" s="11" t="str">
        <f>Data!C16</f>
        <v>97.00</v>
      </c>
      <c r="C50" s="11" t="str">
        <f t="shared" si="6"/>
        <v>95.75</v>
      </c>
      <c r="D50" s="11" t="str">
        <f t="shared" si="7"/>
        <v>93.88</v>
      </c>
      <c r="E50" s="11" t="str">
        <f t="shared" si="8"/>
        <v>97.63</v>
      </c>
      <c r="F50" s="11" t="str">
        <f t="shared" si="9"/>
        <v>1.25</v>
      </c>
      <c r="G50" s="11" t="str">
        <f t="shared" si="10"/>
        <v>98.88</v>
      </c>
    </row>
    <row r="51" ht="14.25" customHeight="1">
      <c r="A51" s="6">
        <v>14.0</v>
      </c>
      <c r="B51" s="11" t="str">
        <f>Data!C17</f>
        <v>87.00</v>
      </c>
      <c r="C51" s="11" t="str">
        <f t="shared" si="6"/>
        <v>93.25</v>
      </c>
      <c r="D51" s="11" t="str">
        <f t="shared" si="7"/>
        <v>94.19</v>
      </c>
      <c r="E51" s="11" t="str">
        <f t="shared" si="8"/>
        <v>92.31</v>
      </c>
      <c r="F51" s="11" t="str">
        <f t="shared" si="9"/>
        <v>-0.63</v>
      </c>
      <c r="G51" s="11" t="str">
        <f t="shared" si="10"/>
        <v>91.69</v>
      </c>
    </row>
    <row r="52" ht="14.25" customHeight="1">
      <c r="A52" s="6">
        <v>15.0</v>
      </c>
      <c r="B52" s="11" t="str">
        <f>Data!C18</f>
        <v>92.00</v>
      </c>
      <c r="C52" s="11" t="str">
        <f t="shared" si="6"/>
        <v>94.50</v>
      </c>
      <c r="D52" s="11" t="str">
        <f t="shared" si="7"/>
        <v>94.81</v>
      </c>
      <c r="E52" s="11" t="str">
        <f t="shared" si="8"/>
        <v>94.19</v>
      </c>
      <c r="F52" s="11" t="str">
        <f t="shared" si="9"/>
        <v>-0.21</v>
      </c>
      <c r="G52" s="11" t="str">
        <f t="shared" si="10"/>
        <v>93.98</v>
      </c>
    </row>
    <row r="53" ht="14.25" customHeight="1">
      <c r="A53" s="6">
        <v>16.0</v>
      </c>
      <c r="B53" s="11" t="str">
        <f>Data!C19</f>
        <v>107.00</v>
      </c>
      <c r="C53" s="11" t="str">
        <f t="shared" si="6"/>
        <v>95.75</v>
      </c>
      <c r="D53" s="11" t="str">
        <f t="shared" si="7"/>
        <v>94.81</v>
      </c>
      <c r="E53" s="11" t="str">
        <f t="shared" si="8"/>
        <v>96.69</v>
      </c>
      <c r="F53" s="11" t="str">
        <f t="shared" si="9"/>
        <v>0.63</v>
      </c>
      <c r="G53" s="11" t="str">
        <f t="shared" si="10"/>
        <v>97.31</v>
      </c>
    </row>
    <row r="54" ht="14.25" customHeight="1">
      <c r="A54" s="6">
        <v>17.0</v>
      </c>
      <c r="B54" s="11" t="str">
        <f>Data!C20</f>
        <v>97.00</v>
      </c>
      <c r="C54" s="11" t="str">
        <f t="shared" si="6"/>
        <v>95.75</v>
      </c>
      <c r="D54" s="11" t="str">
        <f t="shared" si="7"/>
        <v>94.81</v>
      </c>
      <c r="E54" s="11" t="str">
        <f t="shared" si="8"/>
        <v>96.69</v>
      </c>
      <c r="F54" s="11" t="str">
        <f t="shared" si="9"/>
        <v>0.63</v>
      </c>
      <c r="G54" s="11" t="str">
        <f t="shared" si="10"/>
        <v>97.31</v>
      </c>
    </row>
    <row r="55" ht="14.25" customHeight="1">
      <c r="A55" s="6">
        <v>18.0</v>
      </c>
      <c r="B55" s="11" t="str">
        <f>Data!C21</f>
        <v>87.00</v>
      </c>
      <c r="C55" s="11" t="str">
        <f t="shared" si="6"/>
        <v>95.75</v>
      </c>
      <c r="D55" s="11" t="str">
        <f t="shared" si="7"/>
        <v>95.44</v>
      </c>
      <c r="E55" s="11" t="str">
        <f t="shared" si="8"/>
        <v>96.06</v>
      </c>
      <c r="F55" s="11" t="str">
        <f t="shared" si="9"/>
        <v>0.21</v>
      </c>
      <c r="G55" s="11" t="str">
        <f t="shared" si="10"/>
        <v>96.27</v>
      </c>
    </row>
    <row r="56" ht="14.25" customHeight="1">
      <c r="A56" s="6">
        <v>19.0</v>
      </c>
      <c r="B56" s="11" t="str">
        <f>Data!C22</f>
        <v>97.00</v>
      </c>
      <c r="C56" s="11" t="str">
        <f t="shared" si="6"/>
        <v>97.00</v>
      </c>
      <c r="D56" s="11" t="str">
        <f t="shared" si="7"/>
        <v>96.06</v>
      </c>
      <c r="E56" s="11" t="str">
        <f t="shared" si="8"/>
        <v>97.94</v>
      </c>
      <c r="F56" s="11" t="str">
        <f t="shared" si="9"/>
        <v>0.63</v>
      </c>
      <c r="G56" s="11" t="str">
        <f t="shared" si="10"/>
        <v>98.56</v>
      </c>
    </row>
    <row r="57" ht="14.25" customHeight="1">
      <c r="A57" s="6">
        <v>20.0</v>
      </c>
      <c r="B57" s="11" t="str">
        <f>Data!C23</f>
        <v>102.00</v>
      </c>
      <c r="C57" s="11" t="str">
        <f t="shared" si="6"/>
        <v>95.75</v>
      </c>
      <c r="D57" s="11" t="str">
        <f t="shared" si="7"/>
        <v>96.06</v>
      </c>
      <c r="E57" s="11" t="str">
        <f t="shared" si="8"/>
        <v>95.44</v>
      </c>
      <c r="F57" s="11" t="str">
        <f t="shared" si="9"/>
        <v>-0.21</v>
      </c>
      <c r="G57" s="11" t="str">
        <f t="shared" si="10"/>
        <v>95.23</v>
      </c>
    </row>
    <row r="58" ht="14.25" customHeight="1">
      <c r="A58" s="6">
        <v>21.0</v>
      </c>
      <c r="B58" s="11" t="str">
        <f>Data!C24</f>
        <v>107.00</v>
      </c>
      <c r="C58" s="11" t="str">
        <f t="shared" si="6"/>
        <v>98.25</v>
      </c>
      <c r="D58" s="11" t="str">
        <f t="shared" si="7"/>
        <v>96.69</v>
      </c>
      <c r="E58" s="11" t="str">
        <f t="shared" si="8"/>
        <v>99.81</v>
      </c>
      <c r="F58" s="11" t="str">
        <f t="shared" si="9"/>
        <v>1.04</v>
      </c>
      <c r="G58" s="11" t="str">
        <f t="shared" si="10"/>
        <v>100.85</v>
      </c>
    </row>
    <row r="59" ht="14.25" customHeight="1">
      <c r="A59" s="6">
        <v>22.0</v>
      </c>
      <c r="B59" s="11" t="str">
        <f>Data!C25</f>
        <v>97.00</v>
      </c>
      <c r="C59" s="11" t="str">
        <f t="shared" si="6"/>
        <v>100.75</v>
      </c>
      <c r="D59" s="11" t="str">
        <f t="shared" si="7"/>
        <v>97.94</v>
      </c>
      <c r="E59" s="11" t="str">
        <f t="shared" si="8"/>
        <v>103.56</v>
      </c>
      <c r="F59" s="11" t="str">
        <f t="shared" si="9"/>
        <v>1.88</v>
      </c>
      <c r="G59" s="11" t="str">
        <f t="shared" si="10"/>
        <v>105.44</v>
      </c>
    </row>
    <row r="60" ht="14.25" customHeight="1">
      <c r="A60" s="6">
        <v>23.0</v>
      </c>
      <c r="B60" s="11" t="str">
        <f>Data!C26</f>
        <v>82.00</v>
      </c>
      <c r="C60" s="11" t="str">
        <f t="shared" si="6"/>
        <v>97.00</v>
      </c>
      <c r="D60" s="11" t="str">
        <f t="shared" si="7"/>
        <v>97.94</v>
      </c>
      <c r="E60" s="11" t="str">
        <f t="shared" si="8"/>
        <v>96.06</v>
      </c>
      <c r="F60" s="11" t="str">
        <f t="shared" si="9"/>
        <v>-0.63</v>
      </c>
      <c r="G60" s="11" t="str">
        <f t="shared" si="10"/>
        <v>95.44</v>
      </c>
    </row>
    <row r="61" ht="14.25" customHeight="1">
      <c r="A61" s="6">
        <v>24.0</v>
      </c>
      <c r="B61" s="11" t="str">
        <f>Data!C27</f>
        <v>87.00</v>
      </c>
      <c r="C61" s="11" t="str">
        <f t="shared" si="6"/>
        <v>93.25</v>
      </c>
      <c r="D61" s="11" t="str">
        <f t="shared" si="7"/>
        <v>97.31</v>
      </c>
      <c r="E61" s="11" t="str">
        <f t="shared" si="8"/>
        <v>89.19</v>
      </c>
      <c r="F61" s="11" t="str">
        <f t="shared" si="9"/>
        <v>-2.71</v>
      </c>
      <c r="G61" s="11" t="str">
        <f t="shared" si="10"/>
        <v>86.48</v>
      </c>
    </row>
    <row r="62" ht="14.25" customHeight="1">
      <c r="A62" s="2" t="s">
        <v>16</v>
      </c>
      <c r="G62" s="12" t="str">
        <f>SUMPRODUCT((B45:B61-G44:G60)^2)/COUNT(G44:G60)</f>
        <v>88.918</v>
      </c>
    </row>
    <row r="63" ht="14.25" customHeight="1">
      <c r="A63" s="2" t="s">
        <v>17</v>
      </c>
      <c r="G63" s="12" t="str">
        <f>SUMPRODUCT(ABS(B45:B61-G44:G60))/COUNT(G44:G60)</f>
        <v>7.537</v>
      </c>
    </row>
    <row r="64" ht="14.25" customHeight="1">
      <c r="A64" s="2" t="s">
        <v>18</v>
      </c>
      <c r="G64" s="13" t="str">
        <f>SUMPRODUCT(ABS(B45:B61-G44:G60)/B45:B61)/COUNT(G44:G60)*100</f>
        <v>8.13</v>
      </c>
    </row>
    <row r="65" ht="14.25" customHeight="1">
      <c r="A65" s="2" t="s">
        <v>29</v>
      </c>
      <c r="G65" s="13" t="str">
        <f>G61</f>
        <v>86.48</v>
      </c>
    </row>
    <row r="66" ht="14.25" customHeight="1"/>
    <row r="67" ht="14.25" customHeight="1">
      <c r="A67" s="2" t="s">
        <v>31</v>
      </c>
    </row>
    <row r="68" ht="14.25" customHeight="1">
      <c r="A68" s="5" t="s">
        <v>2</v>
      </c>
      <c r="B68" s="5" t="s">
        <v>9</v>
      </c>
      <c r="C68" s="5" t="s">
        <v>24</v>
      </c>
      <c r="D68" s="5" t="s">
        <v>25</v>
      </c>
      <c r="E68" s="5" t="s">
        <v>26</v>
      </c>
      <c r="F68" s="5" t="s">
        <v>27</v>
      </c>
      <c r="G68" s="5" t="s">
        <v>28</v>
      </c>
    </row>
    <row r="69" ht="14.25" customHeight="1">
      <c r="A69" s="6">
        <v>1.0</v>
      </c>
      <c r="B69" s="11" t="str">
        <f>Data!C4</f>
        <v>107.00</v>
      </c>
      <c r="C69" s="11"/>
      <c r="D69" s="11"/>
      <c r="E69" s="11"/>
      <c r="F69" s="11"/>
      <c r="G69" s="11"/>
    </row>
    <row r="70" ht="14.25" customHeight="1">
      <c r="A70" s="6">
        <v>2.0</v>
      </c>
      <c r="B70" s="11" t="str">
        <f>Data!C5</f>
        <v>82.00</v>
      </c>
      <c r="C70" s="11"/>
      <c r="D70" s="11"/>
      <c r="E70" s="11"/>
      <c r="F70" s="11"/>
      <c r="G70" s="11"/>
    </row>
    <row r="71" ht="14.25" customHeight="1">
      <c r="A71" s="6">
        <v>3.0</v>
      </c>
      <c r="B71" s="11" t="str">
        <f>Data!C6</f>
        <v>97.00</v>
      </c>
      <c r="C71" s="11"/>
      <c r="D71" s="11"/>
      <c r="E71" s="11"/>
      <c r="F71" s="11"/>
      <c r="G71" s="11"/>
    </row>
    <row r="72" ht="14.25" customHeight="1">
      <c r="A72" s="6">
        <v>4.0</v>
      </c>
      <c r="B72" s="11" t="str">
        <f>Data!C7</f>
        <v>92.00</v>
      </c>
      <c r="C72" s="11"/>
      <c r="D72" s="11"/>
      <c r="E72" s="11"/>
      <c r="F72" s="11"/>
      <c r="G72" s="11"/>
    </row>
    <row r="73" ht="14.25" customHeight="1">
      <c r="A73" s="6">
        <v>5.0</v>
      </c>
      <c r="B73" s="11" t="str">
        <f>Data!C8</f>
        <v>102.00</v>
      </c>
      <c r="C73" s="11" t="str">
        <f t="shared" ref="C73:C92" si="11">AVERAGE(B69:B73)</f>
        <v>96.00</v>
      </c>
      <c r="D73" s="11"/>
      <c r="E73" s="11"/>
      <c r="F73" s="11"/>
      <c r="G73" s="11"/>
    </row>
    <row r="74" ht="14.25" customHeight="1">
      <c r="A74" s="6">
        <v>6.0</v>
      </c>
      <c r="B74" s="11" t="str">
        <f>Data!C9</f>
        <v>92.00</v>
      </c>
      <c r="C74" s="11" t="str">
        <f t="shared" si="11"/>
        <v>93.00</v>
      </c>
      <c r="D74" s="11"/>
      <c r="E74" s="11"/>
      <c r="F74" s="11"/>
      <c r="G74" s="11"/>
    </row>
    <row r="75" ht="14.25" customHeight="1">
      <c r="A75" s="6">
        <v>7.0</v>
      </c>
      <c r="B75" s="11" t="str">
        <f>Data!C10</f>
        <v>87.00</v>
      </c>
      <c r="C75" s="11" t="str">
        <f t="shared" si="11"/>
        <v>94.00</v>
      </c>
      <c r="D75" s="11"/>
      <c r="E75" s="11"/>
      <c r="F75" s="11"/>
      <c r="G75" s="11"/>
    </row>
    <row r="76" ht="14.25" customHeight="1">
      <c r="A76" s="6">
        <v>8.0</v>
      </c>
      <c r="B76" s="11" t="str">
        <f>Data!C11</f>
        <v>87.00</v>
      </c>
      <c r="C76" s="11" t="str">
        <f t="shared" si="11"/>
        <v>92.00</v>
      </c>
      <c r="D76" s="11"/>
      <c r="E76" s="11"/>
      <c r="F76" s="11"/>
      <c r="G76" s="11"/>
    </row>
    <row r="77" ht="14.25" customHeight="1">
      <c r="A77" s="6">
        <v>9.0</v>
      </c>
      <c r="B77" s="11" t="str">
        <f>Data!C12</f>
        <v>97.00</v>
      </c>
      <c r="C77" s="11" t="str">
        <f t="shared" si="11"/>
        <v>93.00</v>
      </c>
      <c r="D77" s="11" t="str">
        <f t="shared" ref="D77:D92" si="12">AVERAGE(C73:C77)</f>
        <v>93.60</v>
      </c>
      <c r="E77" s="11" t="str">
        <f t="shared" ref="E77:E92" si="13">2*C77-D77</f>
        <v>92.40</v>
      </c>
      <c r="F77" s="11" t="str">
        <f t="shared" ref="F77:F92" si="14">(2/(5-1))*(C77-D77)</f>
        <v>-0.30</v>
      </c>
      <c r="G77" s="11" t="str">
        <f t="shared" ref="G77:G92" si="15">E77+F77*1</f>
        <v>92.10</v>
      </c>
    </row>
    <row r="78" ht="14.25" customHeight="1">
      <c r="A78" s="6">
        <v>10.0</v>
      </c>
      <c r="B78" s="11" t="str">
        <f>Data!C13</f>
        <v>97.00</v>
      </c>
      <c r="C78" s="11" t="str">
        <f t="shared" si="11"/>
        <v>92.00</v>
      </c>
      <c r="D78" s="11" t="str">
        <f t="shared" si="12"/>
        <v>92.80</v>
      </c>
      <c r="E78" s="11" t="str">
        <f t="shared" si="13"/>
        <v>91.20</v>
      </c>
      <c r="F78" s="11" t="str">
        <f t="shared" si="14"/>
        <v>-0.40</v>
      </c>
      <c r="G78" s="11" t="str">
        <f t="shared" si="15"/>
        <v>90.80</v>
      </c>
    </row>
    <row r="79" ht="14.25" customHeight="1">
      <c r="A79" s="6">
        <v>11.0</v>
      </c>
      <c r="B79" s="11" t="str">
        <f>Data!C14</f>
        <v>87.00</v>
      </c>
      <c r="C79" s="11" t="str">
        <f t="shared" si="11"/>
        <v>91.00</v>
      </c>
      <c r="D79" s="11" t="str">
        <f t="shared" si="12"/>
        <v>92.40</v>
      </c>
      <c r="E79" s="11" t="str">
        <f t="shared" si="13"/>
        <v>89.60</v>
      </c>
      <c r="F79" s="11" t="str">
        <f t="shared" si="14"/>
        <v>-0.70</v>
      </c>
      <c r="G79" s="11" t="str">
        <f t="shared" si="15"/>
        <v>88.90</v>
      </c>
    </row>
    <row r="80" ht="14.25" customHeight="1">
      <c r="A80" s="6">
        <v>12.0</v>
      </c>
      <c r="B80" s="11" t="str">
        <f>Data!C15</f>
        <v>102.00</v>
      </c>
      <c r="C80" s="11" t="str">
        <f t="shared" si="11"/>
        <v>94.00</v>
      </c>
      <c r="D80" s="11" t="str">
        <f t="shared" si="12"/>
        <v>92.40</v>
      </c>
      <c r="E80" s="11" t="str">
        <f t="shared" si="13"/>
        <v>95.60</v>
      </c>
      <c r="F80" s="11" t="str">
        <f t="shared" si="14"/>
        <v>0.80</v>
      </c>
      <c r="G80" s="11" t="str">
        <f t="shared" si="15"/>
        <v>96.40</v>
      </c>
    </row>
    <row r="81" ht="14.25" customHeight="1">
      <c r="A81" s="6">
        <v>13.0</v>
      </c>
      <c r="B81" s="11" t="str">
        <f>Data!C16</f>
        <v>97.00</v>
      </c>
      <c r="C81" s="11" t="str">
        <f t="shared" si="11"/>
        <v>96.00</v>
      </c>
      <c r="D81" s="11" t="str">
        <f t="shared" si="12"/>
        <v>93.20</v>
      </c>
      <c r="E81" s="11" t="str">
        <f t="shared" si="13"/>
        <v>98.80</v>
      </c>
      <c r="F81" s="11" t="str">
        <f t="shared" si="14"/>
        <v>1.40</v>
      </c>
      <c r="G81" s="11" t="str">
        <f t="shared" si="15"/>
        <v>100.20</v>
      </c>
    </row>
    <row r="82" ht="14.25" customHeight="1">
      <c r="A82" s="6">
        <v>14.0</v>
      </c>
      <c r="B82" s="11" t="str">
        <f>Data!C17</f>
        <v>87.00</v>
      </c>
      <c r="C82" s="11" t="str">
        <f t="shared" si="11"/>
        <v>94.00</v>
      </c>
      <c r="D82" s="11" t="str">
        <f t="shared" si="12"/>
        <v>93.40</v>
      </c>
      <c r="E82" s="11" t="str">
        <f t="shared" si="13"/>
        <v>94.60</v>
      </c>
      <c r="F82" s="11" t="str">
        <f t="shared" si="14"/>
        <v>0.30</v>
      </c>
      <c r="G82" s="11" t="str">
        <f t="shared" si="15"/>
        <v>94.90</v>
      </c>
    </row>
    <row r="83" ht="14.25" customHeight="1">
      <c r="A83" s="6">
        <v>15.0</v>
      </c>
      <c r="B83" s="11" t="str">
        <f>Data!C18</f>
        <v>92.00</v>
      </c>
      <c r="C83" s="11" t="str">
        <f t="shared" si="11"/>
        <v>93.00</v>
      </c>
      <c r="D83" s="11" t="str">
        <f t="shared" si="12"/>
        <v>93.60</v>
      </c>
      <c r="E83" s="11" t="str">
        <f t="shared" si="13"/>
        <v>92.40</v>
      </c>
      <c r="F83" s="11" t="str">
        <f t="shared" si="14"/>
        <v>-0.30</v>
      </c>
      <c r="G83" s="11" t="str">
        <f t="shared" si="15"/>
        <v>92.10</v>
      </c>
    </row>
    <row r="84" ht="14.25" customHeight="1">
      <c r="A84" s="6">
        <v>16.0</v>
      </c>
      <c r="B84" s="11" t="str">
        <f>Data!C19</f>
        <v>107.00</v>
      </c>
      <c r="C84" s="11" t="str">
        <f t="shared" si="11"/>
        <v>97.00</v>
      </c>
      <c r="D84" s="11" t="str">
        <f t="shared" si="12"/>
        <v>94.80</v>
      </c>
      <c r="E84" s="11" t="str">
        <f t="shared" si="13"/>
        <v>99.20</v>
      </c>
      <c r="F84" s="11" t="str">
        <f t="shared" si="14"/>
        <v>1.10</v>
      </c>
      <c r="G84" s="11" t="str">
        <f t="shared" si="15"/>
        <v>100.30</v>
      </c>
    </row>
    <row r="85" ht="14.25" customHeight="1">
      <c r="A85" s="6">
        <v>17.0</v>
      </c>
      <c r="B85" s="11" t="str">
        <f>Data!C20</f>
        <v>97.00</v>
      </c>
      <c r="C85" s="11" t="str">
        <f t="shared" si="11"/>
        <v>96.00</v>
      </c>
      <c r="D85" s="11" t="str">
        <f t="shared" si="12"/>
        <v>95.20</v>
      </c>
      <c r="E85" s="11" t="str">
        <f t="shared" si="13"/>
        <v>96.80</v>
      </c>
      <c r="F85" s="11" t="str">
        <f t="shared" si="14"/>
        <v>0.40</v>
      </c>
      <c r="G85" s="11" t="str">
        <f t="shared" si="15"/>
        <v>97.20</v>
      </c>
    </row>
    <row r="86" ht="14.25" customHeight="1">
      <c r="A86" s="6">
        <v>18.0</v>
      </c>
      <c r="B86" s="11" t="str">
        <f>Data!C21</f>
        <v>87.00</v>
      </c>
      <c r="C86" s="11" t="str">
        <f t="shared" si="11"/>
        <v>94.00</v>
      </c>
      <c r="D86" s="11" t="str">
        <f t="shared" si="12"/>
        <v>94.80</v>
      </c>
      <c r="E86" s="11" t="str">
        <f t="shared" si="13"/>
        <v>93.20</v>
      </c>
      <c r="F86" s="11" t="str">
        <f t="shared" si="14"/>
        <v>-0.40</v>
      </c>
      <c r="G86" s="11" t="str">
        <f t="shared" si="15"/>
        <v>92.80</v>
      </c>
    </row>
    <row r="87" ht="14.25" customHeight="1">
      <c r="A87" s="6">
        <v>19.0</v>
      </c>
      <c r="B87" s="11" t="str">
        <f>Data!C22</f>
        <v>97.00</v>
      </c>
      <c r="C87" s="11" t="str">
        <f t="shared" si="11"/>
        <v>96.00</v>
      </c>
      <c r="D87" s="11" t="str">
        <f t="shared" si="12"/>
        <v>95.20</v>
      </c>
      <c r="E87" s="11" t="str">
        <f t="shared" si="13"/>
        <v>96.80</v>
      </c>
      <c r="F87" s="11" t="str">
        <f t="shared" si="14"/>
        <v>0.40</v>
      </c>
      <c r="G87" s="11" t="str">
        <f t="shared" si="15"/>
        <v>97.20</v>
      </c>
    </row>
    <row r="88" ht="14.25" customHeight="1">
      <c r="A88" s="6">
        <v>20.0</v>
      </c>
      <c r="B88" s="11" t="str">
        <f>Data!C23</f>
        <v>102.00</v>
      </c>
      <c r="C88" s="11" t="str">
        <f t="shared" si="11"/>
        <v>98.00</v>
      </c>
      <c r="D88" s="11" t="str">
        <f t="shared" si="12"/>
        <v>96.20</v>
      </c>
      <c r="E88" s="11" t="str">
        <f t="shared" si="13"/>
        <v>99.80</v>
      </c>
      <c r="F88" s="11" t="str">
        <f t="shared" si="14"/>
        <v>0.90</v>
      </c>
      <c r="G88" s="11" t="str">
        <f t="shared" si="15"/>
        <v>100.70</v>
      </c>
    </row>
    <row r="89" ht="14.25" customHeight="1">
      <c r="A89" s="6">
        <v>21.0</v>
      </c>
      <c r="B89" s="11" t="str">
        <f>Data!C24</f>
        <v>107.00</v>
      </c>
      <c r="C89" s="11" t="str">
        <f t="shared" si="11"/>
        <v>98.00</v>
      </c>
      <c r="D89" s="11" t="str">
        <f t="shared" si="12"/>
        <v>96.40</v>
      </c>
      <c r="E89" s="11" t="str">
        <f t="shared" si="13"/>
        <v>99.60</v>
      </c>
      <c r="F89" s="11" t="str">
        <f t="shared" si="14"/>
        <v>0.80</v>
      </c>
      <c r="G89" s="11" t="str">
        <f t="shared" si="15"/>
        <v>100.40</v>
      </c>
    </row>
    <row r="90" ht="14.25" customHeight="1">
      <c r="A90" s="6">
        <v>22.0</v>
      </c>
      <c r="B90" s="11" t="str">
        <f>Data!C25</f>
        <v>97.00</v>
      </c>
      <c r="C90" s="11" t="str">
        <f t="shared" si="11"/>
        <v>98.00</v>
      </c>
      <c r="D90" s="11" t="str">
        <f t="shared" si="12"/>
        <v>96.80</v>
      </c>
      <c r="E90" s="11" t="str">
        <f t="shared" si="13"/>
        <v>99.20</v>
      </c>
      <c r="F90" s="11" t="str">
        <f t="shared" si="14"/>
        <v>0.60</v>
      </c>
      <c r="G90" s="11" t="str">
        <f t="shared" si="15"/>
        <v>99.80</v>
      </c>
    </row>
    <row r="91" ht="14.25" customHeight="1">
      <c r="A91" s="6">
        <v>23.0</v>
      </c>
      <c r="B91" s="11" t="str">
        <f>Data!C26</f>
        <v>82.00</v>
      </c>
      <c r="C91" s="11" t="str">
        <f t="shared" si="11"/>
        <v>97.00</v>
      </c>
      <c r="D91" s="11" t="str">
        <f t="shared" si="12"/>
        <v>97.40</v>
      </c>
      <c r="E91" s="11" t="str">
        <f t="shared" si="13"/>
        <v>96.60</v>
      </c>
      <c r="F91" s="11" t="str">
        <f t="shared" si="14"/>
        <v>-0.20</v>
      </c>
      <c r="G91" s="11" t="str">
        <f t="shared" si="15"/>
        <v>96.40</v>
      </c>
    </row>
    <row r="92" ht="14.25" customHeight="1">
      <c r="A92" s="6">
        <v>24.0</v>
      </c>
      <c r="B92" s="11" t="str">
        <f>Data!C27</f>
        <v>87.00</v>
      </c>
      <c r="C92" s="11" t="str">
        <f t="shared" si="11"/>
        <v>95.00</v>
      </c>
      <c r="D92" s="11" t="str">
        <f t="shared" si="12"/>
        <v>97.20</v>
      </c>
      <c r="E92" s="11" t="str">
        <f t="shared" si="13"/>
        <v>92.80</v>
      </c>
      <c r="F92" s="11" t="str">
        <f t="shared" si="14"/>
        <v>-1.10</v>
      </c>
      <c r="G92" s="11" t="str">
        <f t="shared" si="15"/>
        <v>91.70</v>
      </c>
    </row>
    <row r="93" ht="14.25" customHeight="1">
      <c r="A93" s="2" t="s">
        <v>16</v>
      </c>
      <c r="G93" s="12" t="str">
        <f>SUMPRODUCT((B78:B92-G77:G91)^2)/COUNT(G77:G91)</f>
        <v>81.809</v>
      </c>
    </row>
    <row r="94" ht="14.25" customHeight="1">
      <c r="A94" s="2" t="s">
        <v>17</v>
      </c>
      <c r="G94" s="12" t="str">
        <f>SUMPRODUCT(ABS(B78:B92-G77:G91))/COUNT(G77:G91)</f>
        <v>7.520</v>
      </c>
    </row>
    <row r="95" ht="14.25" customHeight="1">
      <c r="A95" s="2" t="s">
        <v>18</v>
      </c>
      <c r="G95" s="13" t="str">
        <f>SUMPRODUCT(ABS(B78:B92-G77:G91)/B78:B92)/COUNT(G77:G91)*100</f>
        <v>8.08</v>
      </c>
    </row>
    <row r="96" ht="14.25" customHeight="1">
      <c r="A96" s="2" t="s">
        <v>29</v>
      </c>
      <c r="G96" s="13" t="str">
        <f>G92</f>
        <v>91.70</v>
      </c>
    </row>
    <row r="97" ht="14.25" customHeight="1"/>
    <row r="98" ht="14.25" customHeight="1">
      <c r="A98" s="2" t="s">
        <v>19</v>
      </c>
      <c r="B98" s="14" t="str">
        <f>IF(G31=MIN(G31,G62,G93),3,IF(G62=MIN(G31,G62,G93),4,5))</f>
        <v>5</v>
      </c>
    </row>
    <row r="99" ht="14.25" customHeight="1">
      <c r="A99" s="2" t="s">
        <v>20</v>
      </c>
      <c r="B99" s="15" t="str">
        <f>MIN(G31,G62,G93)</f>
        <v>81.809</v>
      </c>
    </row>
    <row r="100" ht="14.25" customHeight="1"/>
    <row r="101" ht="14.25" customHeight="1"/>
    <row r="102" ht="14.25" customHeight="1">
      <c r="A102" s="10" t="s">
        <v>21</v>
      </c>
    </row>
    <row r="103" ht="14.25" customHeight="1">
      <c r="A103" s="2" t="s">
        <v>32</v>
      </c>
    </row>
    <row r="104" ht="14.25" customHeight="1">
      <c r="A104" s="5" t="s">
        <v>2</v>
      </c>
      <c r="B104" s="5" t="s">
        <v>9</v>
      </c>
      <c r="C104" s="5" t="s">
        <v>24</v>
      </c>
      <c r="D104" s="5" t="s">
        <v>25</v>
      </c>
      <c r="E104" s="5" t="s">
        <v>26</v>
      </c>
      <c r="F104" s="5" t="s">
        <v>27</v>
      </c>
      <c r="G104" s="5" t="s">
        <v>28</v>
      </c>
    </row>
    <row r="105" ht="14.25" customHeight="1">
      <c r="A105" s="6">
        <v>1.0</v>
      </c>
      <c r="B105" s="11" t="str">
        <f>Data!E4</f>
        <v>174.80</v>
      </c>
      <c r="C105" s="11"/>
      <c r="D105" s="11"/>
      <c r="E105" s="11"/>
      <c r="F105" s="11"/>
      <c r="G105" s="11"/>
    </row>
    <row r="106" ht="14.25" customHeight="1">
      <c r="A106" s="6">
        <v>2.0</v>
      </c>
      <c r="B106" s="11" t="str">
        <f>Data!E5</f>
        <v>161.20</v>
      </c>
      <c r="C106" s="11"/>
      <c r="D106" s="11"/>
      <c r="E106" s="11"/>
      <c r="F106" s="11"/>
      <c r="G106" s="11"/>
    </row>
    <row r="107" ht="14.25" customHeight="1">
      <c r="A107" s="6">
        <v>3.0</v>
      </c>
      <c r="B107" s="11" t="str">
        <f>Data!E6</f>
        <v>166.50</v>
      </c>
      <c r="C107" s="11" t="str">
        <f t="shared" ref="C107:C128" si="16">AVERAGE(B105:B107)</f>
        <v>167.50</v>
      </c>
      <c r="D107" s="11"/>
      <c r="E107" s="11"/>
      <c r="F107" s="11"/>
      <c r="G107" s="11"/>
    </row>
    <row r="108" ht="14.25" customHeight="1">
      <c r="A108" s="6">
        <v>4.0</v>
      </c>
      <c r="B108" s="11" t="str">
        <f>Data!E7</f>
        <v>165.00</v>
      </c>
      <c r="C108" s="11" t="str">
        <f t="shared" si="16"/>
        <v>164.23</v>
      </c>
      <c r="D108" s="11"/>
      <c r="E108" s="11"/>
      <c r="F108" s="11"/>
      <c r="G108" s="11"/>
    </row>
    <row r="109" ht="14.25" customHeight="1">
      <c r="A109" s="6">
        <v>5.0</v>
      </c>
      <c r="B109" s="11" t="str">
        <f>Data!E8</f>
        <v>170.10</v>
      </c>
      <c r="C109" s="11" t="str">
        <f t="shared" si="16"/>
        <v>167.20</v>
      </c>
      <c r="D109" s="11" t="str">
        <f t="shared" ref="D109:D128" si="17">AVERAGE(C107:C109)</f>
        <v>166.31</v>
      </c>
      <c r="E109" s="11" t="str">
        <f t="shared" ref="E109:E128" si="18">2*C109-D109</f>
        <v>168.09</v>
      </c>
      <c r="F109" s="11" t="str">
        <f t="shared" ref="F109:F128" si="19">(2/(3-1))*(C109-D109)</f>
        <v>0.89</v>
      </c>
      <c r="G109" s="11" t="str">
        <f t="shared" ref="G109:G128" si="20">E109+F109*1</f>
        <v>168.98</v>
      </c>
    </row>
    <row r="110" ht="14.25" customHeight="1">
      <c r="A110" s="6">
        <v>6.0</v>
      </c>
      <c r="B110" s="11" t="str">
        <f>Data!E9</f>
        <v>165.90</v>
      </c>
      <c r="C110" s="11" t="str">
        <f t="shared" si="16"/>
        <v>167.00</v>
      </c>
      <c r="D110" s="11" t="str">
        <f t="shared" si="17"/>
        <v>166.14</v>
      </c>
      <c r="E110" s="11" t="str">
        <f t="shared" si="18"/>
        <v>167.86</v>
      </c>
      <c r="F110" s="11" t="str">
        <f t="shared" si="19"/>
        <v>0.86</v>
      </c>
      <c r="G110" s="11" t="str">
        <f t="shared" si="20"/>
        <v>168.71</v>
      </c>
    </row>
    <row r="111" ht="14.25" customHeight="1">
      <c r="A111" s="6">
        <v>7.0</v>
      </c>
      <c r="B111" s="11" t="str">
        <f>Data!E10</f>
        <v>161.90</v>
      </c>
      <c r="C111" s="11" t="str">
        <f t="shared" si="16"/>
        <v>165.97</v>
      </c>
      <c r="D111" s="11" t="str">
        <f t="shared" si="17"/>
        <v>166.72</v>
      </c>
      <c r="E111" s="11" t="str">
        <f t="shared" si="18"/>
        <v>165.21</v>
      </c>
      <c r="F111" s="11" t="str">
        <f t="shared" si="19"/>
        <v>-0.76</v>
      </c>
      <c r="G111" s="11" t="str">
        <f t="shared" si="20"/>
        <v>164.46</v>
      </c>
    </row>
    <row r="112" ht="14.25" customHeight="1">
      <c r="A112" s="6">
        <v>8.0</v>
      </c>
      <c r="B112" s="11" t="str">
        <f>Data!E11</f>
        <v>163.10</v>
      </c>
      <c r="C112" s="11" t="str">
        <f t="shared" si="16"/>
        <v>163.63</v>
      </c>
      <c r="D112" s="11" t="str">
        <f t="shared" si="17"/>
        <v>165.53</v>
      </c>
      <c r="E112" s="11" t="str">
        <f t="shared" si="18"/>
        <v>161.73</v>
      </c>
      <c r="F112" s="11" t="str">
        <f t="shared" si="19"/>
        <v>-1.90</v>
      </c>
      <c r="G112" s="11" t="str">
        <f t="shared" si="20"/>
        <v>159.83</v>
      </c>
    </row>
    <row r="113" ht="14.25" customHeight="1">
      <c r="A113" s="6">
        <v>9.0</v>
      </c>
      <c r="B113" s="11" t="str">
        <f>Data!E12</f>
        <v>168.40</v>
      </c>
      <c r="C113" s="11" t="str">
        <f t="shared" si="16"/>
        <v>164.47</v>
      </c>
      <c r="D113" s="11" t="str">
        <f t="shared" si="17"/>
        <v>164.69</v>
      </c>
      <c r="E113" s="11" t="str">
        <f t="shared" si="18"/>
        <v>164.24</v>
      </c>
      <c r="F113" s="11" t="str">
        <f t="shared" si="19"/>
        <v>-0.22</v>
      </c>
      <c r="G113" s="11" t="str">
        <f t="shared" si="20"/>
        <v>164.02</v>
      </c>
    </row>
    <row r="114" ht="14.25" customHeight="1">
      <c r="A114" s="6">
        <v>10.0</v>
      </c>
      <c r="B114" s="11" t="str">
        <f>Data!E13</f>
        <v>168.30</v>
      </c>
      <c r="C114" s="11" t="str">
        <f t="shared" si="16"/>
        <v>166.60</v>
      </c>
      <c r="D114" s="11" t="str">
        <f t="shared" si="17"/>
        <v>164.90</v>
      </c>
      <c r="E114" s="11" t="str">
        <f t="shared" si="18"/>
        <v>168.30</v>
      </c>
      <c r="F114" s="11" t="str">
        <f t="shared" si="19"/>
        <v>1.70</v>
      </c>
      <c r="G114" s="11" t="str">
        <f t="shared" si="20"/>
        <v>170.00</v>
      </c>
    </row>
    <row r="115" ht="14.25" customHeight="1">
      <c r="A115" s="6">
        <v>11.0</v>
      </c>
      <c r="B115" s="11" t="str">
        <f>Data!E14</f>
        <v>163.90</v>
      </c>
      <c r="C115" s="11" t="str">
        <f t="shared" si="16"/>
        <v>166.87</v>
      </c>
      <c r="D115" s="11" t="str">
        <f t="shared" si="17"/>
        <v>165.98</v>
      </c>
      <c r="E115" s="11" t="str">
        <f t="shared" si="18"/>
        <v>167.76</v>
      </c>
      <c r="F115" s="11" t="str">
        <f t="shared" si="19"/>
        <v>0.89</v>
      </c>
      <c r="G115" s="11" t="str">
        <f t="shared" si="20"/>
        <v>168.64</v>
      </c>
    </row>
    <row r="116" ht="14.25" customHeight="1">
      <c r="A116" s="6">
        <v>12.0</v>
      </c>
      <c r="B116" s="11" t="str">
        <f>Data!E15</f>
        <v>172.60</v>
      </c>
      <c r="C116" s="11" t="str">
        <f t="shared" si="16"/>
        <v>168.27</v>
      </c>
      <c r="D116" s="11" t="str">
        <f t="shared" si="17"/>
        <v>167.24</v>
      </c>
      <c r="E116" s="11" t="str">
        <f t="shared" si="18"/>
        <v>169.29</v>
      </c>
      <c r="F116" s="11" t="str">
        <f t="shared" si="19"/>
        <v>1.02</v>
      </c>
      <c r="G116" s="11" t="str">
        <f t="shared" si="20"/>
        <v>170.31</v>
      </c>
    </row>
    <row r="117" ht="14.25" customHeight="1">
      <c r="A117" s="6">
        <v>13.0</v>
      </c>
      <c r="B117" s="11" t="str">
        <f>Data!E16</f>
        <v>173.40</v>
      </c>
      <c r="C117" s="11" t="str">
        <f t="shared" si="16"/>
        <v>169.97</v>
      </c>
      <c r="D117" s="11" t="str">
        <f t="shared" si="17"/>
        <v>168.37</v>
      </c>
      <c r="E117" s="11" t="str">
        <f t="shared" si="18"/>
        <v>171.57</v>
      </c>
      <c r="F117" s="11" t="str">
        <f t="shared" si="19"/>
        <v>1.60</v>
      </c>
      <c r="G117" s="11" t="str">
        <f t="shared" si="20"/>
        <v>173.17</v>
      </c>
    </row>
    <row r="118" ht="14.25" customHeight="1">
      <c r="A118" s="6">
        <v>14.0</v>
      </c>
      <c r="B118" s="11" t="str">
        <f>Data!E17</f>
        <v>170.50</v>
      </c>
      <c r="C118" s="11" t="str">
        <f t="shared" si="16"/>
        <v>172.17</v>
      </c>
      <c r="D118" s="11" t="str">
        <f t="shared" si="17"/>
        <v>170.13</v>
      </c>
      <c r="E118" s="11" t="str">
        <f t="shared" si="18"/>
        <v>174.20</v>
      </c>
      <c r="F118" s="11" t="str">
        <f t="shared" si="19"/>
        <v>2.03</v>
      </c>
      <c r="G118" s="11" t="str">
        <f t="shared" si="20"/>
        <v>176.23</v>
      </c>
    </row>
    <row r="119" ht="14.25" customHeight="1">
      <c r="A119" s="6">
        <v>15.0</v>
      </c>
      <c r="B119" s="11" t="str">
        <f>Data!E18</f>
        <v>175.50</v>
      </c>
      <c r="C119" s="11" t="str">
        <f t="shared" si="16"/>
        <v>173.13</v>
      </c>
      <c r="D119" s="11" t="str">
        <f t="shared" si="17"/>
        <v>171.76</v>
      </c>
      <c r="E119" s="11" t="str">
        <f t="shared" si="18"/>
        <v>174.51</v>
      </c>
      <c r="F119" s="11" t="str">
        <f t="shared" si="19"/>
        <v>1.38</v>
      </c>
      <c r="G119" s="11" t="str">
        <f t="shared" si="20"/>
        <v>175.89</v>
      </c>
    </row>
    <row r="120" ht="14.25" customHeight="1">
      <c r="A120" s="6">
        <v>16.0</v>
      </c>
      <c r="B120" s="11" t="str">
        <f>Data!E19</f>
        <v>187.00</v>
      </c>
      <c r="C120" s="11" t="str">
        <f t="shared" si="16"/>
        <v>177.67</v>
      </c>
      <c r="D120" s="11" t="str">
        <f t="shared" si="17"/>
        <v>174.32</v>
      </c>
      <c r="E120" s="11" t="str">
        <f t="shared" si="18"/>
        <v>181.01</v>
      </c>
      <c r="F120" s="11" t="str">
        <f t="shared" si="19"/>
        <v>3.34</v>
      </c>
      <c r="G120" s="11" t="str">
        <f t="shared" si="20"/>
        <v>184.36</v>
      </c>
    </row>
    <row r="121" ht="14.25" customHeight="1">
      <c r="A121" s="6">
        <v>17.0</v>
      </c>
      <c r="B121" s="11" t="str">
        <f>Data!E20</f>
        <v>185.50</v>
      </c>
      <c r="C121" s="11" t="str">
        <f t="shared" si="16"/>
        <v>182.67</v>
      </c>
      <c r="D121" s="11" t="str">
        <f t="shared" si="17"/>
        <v>177.82</v>
      </c>
      <c r="E121" s="11" t="str">
        <f t="shared" si="18"/>
        <v>187.51</v>
      </c>
      <c r="F121" s="11" t="str">
        <f t="shared" si="19"/>
        <v>4.84</v>
      </c>
      <c r="G121" s="11" t="str">
        <f t="shared" si="20"/>
        <v>192.36</v>
      </c>
    </row>
    <row r="122" ht="14.25" customHeight="1">
      <c r="A122" s="6">
        <v>18.0</v>
      </c>
      <c r="B122" s="11" t="str">
        <f>Data!E21</f>
        <v>181.60</v>
      </c>
      <c r="C122" s="11" t="str">
        <f t="shared" si="16"/>
        <v>184.70</v>
      </c>
      <c r="D122" s="11" t="str">
        <f t="shared" si="17"/>
        <v>181.68</v>
      </c>
      <c r="E122" s="11" t="str">
        <f t="shared" si="18"/>
        <v>187.72</v>
      </c>
      <c r="F122" s="11" t="str">
        <f t="shared" si="19"/>
        <v>3.02</v>
      </c>
      <c r="G122" s="11" t="str">
        <f t="shared" si="20"/>
        <v>190.74</v>
      </c>
    </row>
    <row r="123" ht="14.25" customHeight="1">
      <c r="A123" s="6">
        <v>19.0</v>
      </c>
      <c r="B123" s="11" t="str">
        <f>Data!E22</f>
        <v>189.10</v>
      </c>
      <c r="C123" s="11" t="str">
        <f t="shared" si="16"/>
        <v>185.40</v>
      </c>
      <c r="D123" s="11" t="str">
        <f t="shared" si="17"/>
        <v>184.26</v>
      </c>
      <c r="E123" s="11" t="str">
        <f t="shared" si="18"/>
        <v>186.54</v>
      </c>
      <c r="F123" s="11" t="str">
        <f t="shared" si="19"/>
        <v>1.14</v>
      </c>
      <c r="G123" s="11" t="str">
        <f t="shared" si="20"/>
        <v>187.69</v>
      </c>
    </row>
    <row r="124" ht="14.25" customHeight="1">
      <c r="A124" s="6">
        <v>20.0</v>
      </c>
      <c r="B124" s="11" t="str">
        <f>Data!E23</f>
        <v>192.90</v>
      </c>
      <c r="C124" s="11" t="str">
        <f t="shared" si="16"/>
        <v>187.87</v>
      </c>
      <c r="D124" s="11" t="str">
        <f t="shared" si="17"/>
        <v>185.99</v>
      </c>
      <c r="E124" s="11" t="str">
        <f t="shared" si="18"/>
        <v>189.74</v>
      </c>
      <c r="F124" s="11" t="str">
        <f t="shared" si="19"/>
        <v>1.88</v>
      </c>
      <c r="G124" s="11" t="str">
        <f t="shared" si="20"/>
        <v>191.62</v>
      </c>
    </row>
    <row r="125" ht="14.25" customHeight="1">
      <c r="A125" s="6">
        <v>21.0</v>
      </c>
      <c r="B125" s="11" t="str">
        <f>Data!E24</f>
        <v>196.70</v>
      </c>
      <c r="C125" s="11" t="str">
        <f t="shared" si="16"/>
        <v>192.90</v>
      </c>
      <c r="D125" s="11" t="str">
        <f t="shared" si="17"/>
        <v>188.72</v>
      </c>
      <c r="E125" s="11" t="str">
        <f t="shared" si="18"/>
        <v>197.08</v>
      </c>
      <c r="F125" s="11" t="str">
        <f t="shared" si="19"/>
        <v>4.18</v>
      </c>
      <c r="G125" s="11" t="str">
        <f t="shared" si="20"/>
        <v>201.26</v>
      </c>
    </row>
    <row r="126" ht="14.25" customHeight="1">
      <c r="A126" s="6">
        <v>22.0</v>
      </c>
      <c r="B126" s="11" t="str">
        <f>Data!E25</f>
        <v>194.10</v>
      </c>
      <c r="C126" s="11" t="str">
        <f t="shared" si="16"/>
        <v>194.57</v>
      </c>
      <c r="D126" s="11" t="str">
        <f t="shared" si="17"/>
        <v>191.78</v>
      </c>
      <c r="E126" s="11" t="str">
        <f t="shared" si="18"/>
        <v>197.36</v>
      </c>
      <c r="F126" s="11" t="str">
        <f t="shared" si="19"/>
        <v>2.79</v>
      </c>
      <c r="G126" s="11" t="str">
        <f t="shared" si="20"/>
        <v>200.14</v>
      </c>
    </row>
    <row r="127" ht="14.25" customHeight="1">
      <c r="A127" s="6">
        <v>23.0</v>
      </c>
      <c r="B127" s="11" t="str">
        <f>Data!E26</f>
        <v>187.50</v>
      </c>
      <c r="C127" s="11" t="str">
        <f t="shared" si="16"/>
        <v>192.77</v>
      </c>
      <c r="D127" s="11" t="str">
        <f t="shared" si="17"/>
        <v>193.41</v>
      </c>
      <c r="E127" s="11" t="str">
        <f t="shared" si="18"/>
        <v>192.12</v>
      </c>
      <c r="F127" s="11" t="str">
        <f t="shared" si="19"/>
        <v>-0.64</v>
      </c>
      <c r="G127" s="11" t="str">
        <f t="shared" si="20"/>
        <v>191.48</v>
      </c>
    </row>
    <row r="128" ht="14.25" customHeight="1">
      <c r="A128" s="6">
        <v>24.0</v>
      </c>
      <c r="B128" s="11" t="str">
        <f>Data!E27</f>
        <v>192.90</v>
      </c>
      <c r="C128" s="11" t="str">
        <f t="shared" si="16"/>
        <v>191.50</v>
      </c>
      <c r="D128" s="11" t="str">
        <f t="shared" si="17"/>
        <v>192.94</v>
      </c>
      <c r="E128" s="11" t="str">
        <f t="shared" si="18"/>
        <v>190.06</v>
      </c>
      <c r="F128" s="11" t="str">
        <f t="shared" si="19"/>
        <v>-1.44</v>
      </c>
      <c r="G128" s="11" t="str">
        <f t="shared" si="20"/>
        <v>188.61</v>
      </c>
    </row>
    <row r="129" ht="14.25" customHeight="1">
      <c r="A129" s="2" t="s">
        <v>16</v>
      </c>
      <c r="G129" s="12" t="str">
        <f>SUMPRODUCT((B110:B128-G109:G127)^2)/COUNT(G109:G127)</f>
        <v>38.349</v>
      </c>
    </row>
    <row r="130" ht="14.25" customHeight="1">
      <c r="A130" s="2" t="s">
        <v>17</v>
      </c>
      <c r="G130" s="12" t="str">
        <f>SUMPRODUCT(ABS(B110:B128-G109:G127))/COUNT(G109:G127)</f>
        <v>5.095</v>
      </c>
    </row>
    <row r="131" ht="14.25" customHeight="1">
      <c r="A131" s="2" t="s">
        <v>18</v>
      </c>
      <c r="G131" s="13" t="str">
        <f>SUMPRODUCT(ABS(B110:B128-G109:G127)/B110:B128)/COUNT(G109:G127)*100</f>
        <v>2.85</v>
      </c>
    </row>
    <row r="132" ht="14.25" customHeight="1">
      <c r="A132" s="2" t="s">
        <v>29</v>
      </c>
      <c r="G132" s="13" t="str">
        <f>G128</f>
        <v>188.61</v>
      </c>
    </row>
    <row r="133" ht="14.25" customHeight="1"/>
    <row r="134" ht="14.25" customHeight="1">
      <c r="A134" s="2" t="s">
        <v>33</v>
      </c>
    </row>
    <row r="135" ht="14.25" customHeight="1">
      <c r="A135" s="5" t="s">
        <v>2</v>
      </c>
      <c r="B135" s="5" t="s">
        <v>9</v>
      </c>
      <c r="C135" s="5" t="s">
        <v>24</v>
      </c>
      <c r="D135" s="5" t="s">
        <v>25</v>
      </c>
      <c r="E135" s="5" t="s">
        <v>26</v>
      </c>
      <c r="F135" s="5" t="s">
        <v>27</v>
      </c>
      <c r="G135" s="5" t="s">
        <v>28</v>
      </c>
    </row>
    <row r="136" ht="14.25" customHeight="1">
      <c r="A136" s="6">
        <v>1.0</v>
      </c>
      <c r="B136" s="11" t="str">
        <f>Data!E4</f>
        <v>174.80</v>
      </c>
      <c r="C136" s="11"/>
      <c r="D136" s="11"/>
      <c r="E136" s="11"/>
      <c r="F136" s="11"/>
      <c r="G136" s="11"/>
    </row>
    <row r="137" ht="14.25" customHeight="1">
      <c r="A137" s="6">
        <v>2.0</v>
      </c>
      <c r="B137" s="11" t="str">
        <f>Data!E5</f>
        <v>161.20</v>
      </c>
      <c r="C137" s="11"/>
      <c r="D137" s="11"/>
      <c r="E137" s="11"/>
      <c r="F137" s="11"/>
      <c r="G137" s="11"/>
    </row>
    <row r="138" ht="14.25" customHeight="1">
      <c r="A138" s="6">
        <v>3.0</v>
      </c>
      <c r="B138" s="11" t="str">
        <f>Data!E6</f>
        <v>166.50</v>
      </c>
      <c r="C138" s="11"/>
      <c r="D138" s="11"/>
      <c r="E138" s="11"/>
      <c r="F138" s="11"/>
      <c r="G138" s="11"/>
    </row>
    <row r="139" ht="14.25" customHeight="1">
      <c r="A139" s="6">
        <v>4.0</v>
      </c>
      <c r="B139" s="11" t="str">
        <f>Data!E7</f>
        <v>165.00</v>
      </c>
      <c r="C139" s="11" t="str">
        <f t="shared" ref="C139:C159" si="21">AVERAGE(B136:B139)</f>
        <v>166.88</v>
      </c>
      <c r="D139" s="11"/>
      <c r="E139" s="11"/>
      <c r="F139" s="11"/>
      <c r="G139" s="11"/>
    </row>
    <row r="140" ht="14.25" customHeight="1">
      <c r="A140" s="6">
        <v>5.0</v>
      </c>
      <c r="B140" s="11" t="str">
        <f>Data!E8</f>
        <v>170.10</v>
      </c>
      <c r="C140" s="11" t="str">
        <f t="shared" si="21"/>
        <v>165.70</v>
      </c>
      <c r="D140" s="11"/>
      <c r="E140" s="11"/>
      <c r="F140" s="11"/>
      <c r="G140" s="11"/>
    </row>
    <row r="141" ht="14.25" customHeight="1">
      <c r="A141" s="6">
        <v>6.0</v>
      </c>
      <c r="B141" s="11" t="str">
        <f>Data!E9</f>
        <v>165.90</v>
      </c>
      <c r="C141" s="11" t="str">
        <f t="shared" si="21"/>
        <v>166.88</v>
      </c>
      <c r="D141" s="11"/>
      <c r="E141" s="11"/>
      <c r="F141" s="11"/>
      <c r="G141" s="11"/>
    </row>
    <row r="142" ht="14.25" customHeight="1">
      <c r="A142" s="6">
        <v>7.0</v>
      </c>
      <c r="B142" s="11" t="str">
        <f>Data!E10</f>
        <v>161.90</v>
      </c>
      <c r="C142" s="11" t="str">
        <f t="shared" si="21"/>
        <v>165.73</v>
      </c>
      <c r="D142" s="11" t="str">
        <f t="shared" ref="D142:D159" si="22">AVERAGE(C139:C142)</f>
        <v>166.29</v>
      </c>
      <c r="E142" s="11" t="str">
        <f t="shared" ref="E142:E159" si="23">2*C142-D142</f>
        <v>165.16</v>
      </c>
      <c r="F142" s="11" t="str">
        <f t="shared" ref="F142:F159" si="24">(2/(4-1))*(C142-D142)</f>
        <v>-0.38</v>
      </c>
      <c r="G142" s="11" t="str">
        <f t="shared" ref="G142:G159" si="25">E142+F142*1</f>
        <v>164.78</v>
      </c>
    </row>
    <row r="143" ht="14.25" customHeight="1">
      <c r="A143" s="6">
        <v>8.0</v>
      </c>
      <c r="B143" s="11" t="str">
        <f>Data!E11</f>
        <v>163.10</v>
      </c>
      <c r="C143" s="11" t="str">
        <f t="shared" si="21"/>
        <v>165.25</v>
      </c>
      <c r="D143" s="11" t="str">
        <f t="shared" si="22"/>
        <v>165.89</v>
      </c>
      <c r="E143" s="11" t="str">
        <f t="shared" si="23"/>
        <v>164.61</v>
      </c>
      <c r="F143" s="11" t="str">
        <f t="shared" si="24"/>
        <v>-0.42</v>
      </c>
      <c r="G143" s="11" t="str">
        <f t="shared" si="25"/>
        <v>164.19</v>
      </c>
    </row>
    <row r="144" ht="14.25" customHeight="1">
      <c r="A144" s="6">
        <v>9.0</v>
      </c>
      <c r="B144" s="11" t="str">
        <f>Data!E12</f>
        <v>168.40</v>
      </c>
      <c r="C144" s="11" t="str">
        <f t="shared" si="21"/>
        <v>164.83</v>
      </c>
      <c r="D144" s="11" t="str">
        <f t="shared" si="22"/>
        <v>165.67</v>
      </c>
      <c r="E144" s="11" t="str">
        <f t="shared" si="23"/>
        <v>163.98</v>
      </c>
      <c r="F144" s="11" t="str">
        <f t="shared" si="24"/>
        <v>-0.56</v>
      </c>
      <c r="G144" s="11" t="str">
        <f t="shared" si="25"/>
        <v>163.42</v>
      </c>
    </row>
    <row r="145" ht="14.25" customHeight="1">
      <c r="A145" s="6">
        <v>10.0</v>
      </c>
      <c r="B145" s="11" t="str">
        <f>Data!E13</f>
        <v>168.30</v>
      </c>
      <c r="C145" s="11" t="str">
        <f t="shared" si="21"/>
        <v>165.43</v>
      </c>
      <c r="D145" s="11" t="str">
        <f t="shared" si="22"/>
        <v>165.31</v>
      </c>
      <c r="E145" s="11" t="str">
        <f t="shared" si="23"/>
        <v>165.54</v>
      </c>
      <c r="F145" s="11" t="str">
        <f t="shared" si="24"/>
        <v>0.08</v>
      </c>
      <c r="G145" s="11" t="str">
        <f t="shared" si="25"/>
        <v>165.62</v>
      </c>
    </row>
    <row r="146" ht="14.25" customHeight="1">
      <c r="A146" s="6">
        <v>11.0</v>
      </c>
      <c r="B146" s="11" t="str">
        <f>Data!E14</f>
        <v>163.90</v>
      </c>
      <c r="C146" s="11" t="str">
        <f t="shared" si="21"/>
        <v>165.93</v>
      </c>
      <c r="D146" s="11" t="str">
        <f t="shared" si="22"/>
        <v>165.36</v>
      </c>
      <c r="E146" s="11" t="str">
        <f t="shared" si="23"/>
        <v>166.49</v>
      </c>
      <c r="F146" s="11" t="str">
        <f t="shared" si="24"/>
        <v>0.38</v>
      </c>
      <c r="G146" s="11" t="str">
        <f t="shared" si="25"/>
        <v>166.87</v>
      </c>
    </row>
    <row r="147" ht="14.25" customHeight="1">
      <c r="A147" s="6">
        <v>12.0</v>
      </c>
      <c r="B147" s="11" t="str">
        <f>Data!E15</f>
        <v>172.60</v>
      </c>
      <c r="C147" s="11" t="str">
        <f t="shared" si="21"/>
        <v>168.30</v>
      </c>
      <c r="D147" s="11" t="str">
        <f t="shared" si="22"/>
        <v>166.12</v>
      </c>
      <c r="E147" s="11" t="str">
        <f t="shared" si="23"/>
        <v>170.48</v>
      </c>
      <c r="F147" s="11" t="str">
        <f t="shared" si="24"/>
        <v>1.45</v>
      </c>
      <c r="G147" s="11" t="str">
        <f t="shared" si="25"/>
        <v>171.94</v>
      </c>
    </row>
    <row r="148" ht="14.25" customHeight="1">
      <c r="A148" s="6">
        <v>13.0</v>
      </c>
      <c r="B148" s="11" t="str">
        <f>Data!E16</f>
        <v>173.40</v>
      </c>
      <c r="C148" s="11" t="str">
        <f t="shared" si="21"/>
        <v>169.55</v>
      </c>
      <c r="D148" s="11" t="str">
        <f t="shared" si="22"/>
        <v>167.30</v>
      </c>
      <c r="E148" s="11" t="str">
        <f t="shared" si="23"/>
        <v>171.80</v>
      </c>
      <c r="F148" s="11" t="str">
        <f t="shared" si="24"/>
        <v>1.50</v>
      </c>
      <c r="G148" s="11" t="str">
        <f t="shared" si="25"/>
        <v>173.30</v>
      </c>
    </row>
    <row r="149" ht="14.25" customHeight="1">
      <c r="A149" s="6">
        <v>14.0</v>
      </c>
      <c r="B149" s="11" t="str">
        <f>Data!E17</f>
        <v>170.50</v>
      </c>
      <c r="C149" s="11" t="str">
        <f t="shared" si="21"/>
        <v>170.10</v>
      </c>
      <c r="D149" s="11" t="str">
        <f t="shared" si="22"/>
        <v>168.47</v>
      </c>
      <c r="E149" s="11" t="str">
        <f t="shared" si="23"/>
        <v>171.73</v>
      </c>
      <c r="F149" s="11" t="str">
        <f t="shared" si="24"/>
        <v>1.09</v>
      </c>
      <c r="G149" s="11" t="str">
        <f t="shared" si="25"/>
        <v>172.82</v>
      </c>
    </row>
    <row r="150" ht="14.25" customHeight="1">
      <c r="A150" s="6">
        <v>15.0</v>
      </c>
      <c r="B150" s="11" t="str">
        <f>Data!E18</f>
        <v>175.50</v>
      </c>
      <c r="C150" s="11" t="str">
        <f t="shared" si="21"/>
        <v>173.00</v>
      </c>
      <c r="D150" s="11" t="str">
        <f t="shared" si="22"/>
        <v>170.24</v>
      </c>
      <c r="E150" s="11" t="str">
        <f t="shared" si="23"/>
        <v>175.76</v>
      </c>
      <c r="F150" s="11" t="str">
        <f t="shared" si="24"/>
        <v>1.84</v>
      </c>
      <c r="G150" s="11" t="str">
        <f t="shared" si="25"/>
        <v>177.60</v>
      </c>
    </row>
    <row r="151" ht="14.25" customHeight="1">
      <c r="A151" s="6">
        <v>16.0</v>
      </c>
      <c r="B151" s="11" t="str">
        <f>Data!E19</f>
        <v>187.00</v>
      </c>
      <c r="C151" s="11" t="str">
        <f t="shared" si="21"/>
        <v>176.60</v>
      </c>
      <c r="D151" s="11" t="str">
        <f t="shared" si="22"/>
        <v>172.31</v>
      </c>
      <c r="E151" s="11" t="str">
        <f t="shared" si="23"/>
        <v>180.89</v>
      </c>
      <c r="F151" s="11" t="str">
        <f t="shared" si="24"/>
        <v>2.86</v>
      </c>
      <c r="G151" s="11" t="str">
        <f t="shared" si="25"/>
        <v>183.75</v>
      </c>
    </row>
    <row r="152" ht="14.25" customHeight="1">
      <c r="A152" s="6">
        <v>17.0</v>
      </c>
      <c r="B152" s="11" t="str">
        <f>Data!E20</f>
        <v>185.50</v>
      </c>
      <c r="C152" s="11" t="str">
        <f t="shared" si="21"/>
        <v>179.63</v>
      </c>
      <c r="D152" s="11" t="str">
        <f t="shared" si="22"/>
        <v>174.83</v>
      </c>
      <c r="E152" s="11" t="str">
        <f t="shared" si="23"/>
        <v>184.42</v>
      </c>
      <c r="F152" s="11" t="str">
        <f t="shared" si="24"/>
        <v>3.20</v>
      </c>
      <c r="G152" s="11" t="str">
        <f t="shared" si="25"/>
        <v>187.61</v>
      </c>
    </row>
    <row r="153" ht="14.25" customHeight="1">
      <c r="A153" s="6">
        <v>18.0</v>
      </c>
      <c r="B153" s="11" t="str">
        <f>Data!E21</f>
        <v>181.60</v>
      </c>
      <c r="C153" s="11" t="str">
        <f t="shared" si="21"/>
        <v>182.40</v>
      </c>
      <c r="D153" s="11" t="str">
        <f t="shared" si="22"/>
        <v>177.91</v>
      </c>
      <c r="E153" s="11" t="str">
        <f t="shared" si="23"/>
        <v>186.89</v>
      </c>
      <c r="F153" s="11" t="str">
        <f t="shared" si="24"/>
        <v>3.00</v>
      </c>
      <c r="G153" s="11" t="str">
        <f t="shared" si="25"/>
        <v>189.89</v>
      </c>
    </row>
    <row r="154" ht="14.25" customHeight="1">
      <c r="A154" s="6">
        <v>19.0</v>
      </c>
      <c r="B154" s="11" t="str">
        <f>Data!E22</f>
        <v>189.10</v>
      </c>
      <c r="C154" s="11" t="str">
        <f t="shared" si="21"/>
        <v>185.80</v>
      </c>
      <c r="D154" s="11" t="str">
        <f t="shared" si="22"/>
        <v>181.11</v>
      </c>
      <c r="E154" s="11" t="str">
        <f t="shared" si="23"/>
        <v>190.49</v>
      </c>
      <c r="F154" s="11" t="str">
        <f t="shared" si="24"/>
        <v>3.13</v>
      </c>
      <c r="G154" s="11" t="str">
        <f t="shared" si="25"/>
        <v>193.62</v>
      </c>
    </row>
    <row r="155" ht="14.25" customHeight="1">
      <c r="A155" s="6">
        <v>20.0</v>
      </c>
      <c r="B155" s="11" t="str">
        <f>Data!E23</f>
        <v>192.90</v>
      </c>
      <c r="C155" s="11" t="str">
        <f t="shared" si="21"/>
        <v>187.28</v>
      </c>
      <c r="D155" s="11" t="str">
        <f t="shared" si="22"/>
        <v>183.78</v>
      </c>
      <c r="E155" s="11" t="str">
        <f t="shared" si="23"/>
        <v>190.78</v>
      </c>
      <c r="F155" s="11" t="str">
        <f t="shared" si="24"/>
        <v>2.33</v>
      </c>
      <c r="G155" s="11" t="str">
        <f t="shared" si="25"/>
        <v>193.11</v>
      </c>
    </row>
    <row r="156" ht="14.25" customHeight="1">
      <c r="A156" s="6">
        <v>21.0</v>
      </c>
      <c r="B156" s="11" t="str">
        <f>Data!E24</f>
        <v>196.70</v>
      </c>
      <c r="C156" s="11" t="str">
        <f t="shared" si="21"/>
        <v>190.08</v>
      </c>
      <c r="D156" s="11" t="str">
        <f t="shared" si="22"/>
        <v>186.39</v>
      </c>
      <c r="E156" s="11" t="str">
        <f t="shared" si="23"/>
        <v>193.76</v>
      </c>
      <c r="F156" s="11" t="str">
        <f t="shared" si="24"/>
        <v>2.46</v>
      </c>
      <c r="G156" s="11" t="str">
        <f t="shared" si="25"/>
        <v>196.22</v>
      </c>
    </row>
    <row r="157" ht="14.25" customHeight="1">
      <c r="A157" s="6">
        <v>22.0</v>
      </c>
      <c r="B157" s="11" t="str">
        <f>Data!E25</f>
        <v>194.10</v>
      </c>
      <c r="C157" s="11" t="str">
        <f t="shared" si="21"/>
        <v>193.20</v>
      </c>
      <c r="D157" s="11" t="str">
        <f t="shared" si="22"/>
        <v>189.09</v>
      </c>
      <c r="E157" s="11" t="str">
        <f t="shared" si="23"/>
        <v>197.31</v>
      </c>
      <c r="F157" s="11" t="str">
        <f t="shared" si="24"/>
        <v>2.74</v>
      </c>
      <c r="G157" s="11" t="str">
        <f t="shared" si="25"/>
        <v>200.05</v>
      </c>
    </row>
    <row r="158" ht="14.25" customHeight="1">
      <c r="A158" s="6">
        <v>23.0</v>
      </c>
      <c r="B158" s="11" t="str">
        <f>Data!E26</f>
        <v>187.50</v>
      </c>
      <c r="C158" s="11" t="str">
        <f t="shared" si="21"/>
        <v>192.80</v>
      </c>
      <c r="D158" s="11" t="str">
        <f t="shared" si="22"/>
        <v>190.84</v>
      </c>
      <c r="E158" s="11" t="str">
        <f t="shared" si="23"/>
        <v>194.76</v>
      </c>
      <c r="F158" s="11" t="str">
        <f t="shared" si="24"/>
        <v>1.31</v>
      </c>
      <c r="G158" s="11" t="str">
        <f t="shared" si="25"/>
        <v>196.07</v>
      </c>
    </row>
    <row r="159" ht="14.25" customHeight="1">
      <c r="A159" s="6">
        <v>24.0</v>
      </c>
      <c r="B159" s="11" t="str">
        <f>Data!E27</f>
        <v>192.90</v>
      </c>
      <c r="C159" s="11" t="str">
        <f t="shared" si="21"/>
        <v>192.80</v>
      </c>
      <c r="D159" s="11" t="str">
        <f t="shared" si="22"/>
        <v>192.22</v>
      </c>
      <c r="E159" s="11" t="str">
        <f t="shared" si="23"/>
        <v>193.38</v>
      </c>
      <c r="F159" s="11" t="str">
        <f t="shared" si="24"/>
        <v>0.39</v>
      </c>
      <c r="G159" s="11" t="str">
        <f t="shared" si="25"/>
        <v>193.77</v>
      </c>
    </row>
    <row r="160" ht="14.25" customHeight="1">
      <c r="A160" s="2" t="s">
        <v>16</v>
      </c>
      <c r="G160" s="12" t="str">
        <f>SUMPRODUCT((B143:B159-G142:G158)^2)/COUNT(G142:G158)</f>
        <v>24.180</v>
      </c>
    </row>
    <row r="161" ht="14.25" customHeight="1">
      <c r="A161" s="2" t="s">
        <v>17</v>
      </c>
      <c r="G161" s="12" t="str">
        <f>SUMPRODUCT(ABS(B143:B159-G142:G158))/COUNT(G142:G158)</f>
        <v>3.840</v>
      </c>
    </row>
    <row r="162" ht="14.25" customHeight="1">
      <c r="A162" s="2" t="s">
        <v>18</v>
      </c>
      <c r="G162" s="13" t="str">
        <f>SUMPRODUCT(ABS(B143:B159-G142:G158)/B143:B159)/COUNT(G142:G158)*100</f>
        <v>2.13</v>
      </c>
    </row>
    <row r="163" ht="14.25" customHeight="1">
      <c r="A163" s="2" t="s">
        <v>29</v>
      </c>
      <c r="G163" s="13" t="str">
        <f>G159</f>
        <v>193.77</v>
      </c>
    </row>
    <row r="164" ht="14.25" customHeight="1"/>
    <row r="165" ht="14.25" customHeight="1">
      <c r="A165" s="2" t="s">
        <v>34</v>
      </c>
    </row>
    <row r="166" ht="14.25" customHeight="1">
      <c r="A166" s="5" t="s">
        <v>2</v>
      </c>
      <c r="B166" s="5" t="s">
        <v>9</v>
      </c>
      <c r="C166" s="5" t="s">
        <v>24</v>
      </c>
      <c r="D166" s="5" t="s">
        <v>25</v>
      </c>
      <c r="E166" s="5" t="s">
        <v>26</v>
      </c>
      <c r="F166" s="5" t="s">
        <v>27</v>
      </c>
      <c r="G166" s="5" t="s">
        <v>28</v>
      </c>
    </row>
    <row r="167" ht="14.25" customHeight="1">
      <c r="A167" s="6">
        <v>1.0</v>
      </c>
      <c r="B167" s="11" t="str">
        <f>Data!E4</f>
        <v>174.80</v>
      </c>
      <c r="C167" s="11"/>
      <c r="D167" s="11"/>
      <c r="E167" s="11"/>
      <c r="F167" s="11"/>
      <c r="G167" s="11"/>
    </row>
    <row r="168" ht="14.25" customHeight="1">
      <c r="A168" s="6">
        <v>2.0</v>
      </c>
      <c r="B168" s="11" t="str">
        <f>Data!E5</f>
        <v>161.20</v>
      </c>
      <c r="C168" s="11"/>
      <c r="D168" s="11"/>
      <c r="E168" s="11"/>
      <c r="F168" s="11"/>
      <c r="G168" s="11"/>
    </row>
    <row r="169" ht="14.25" customHeight="1">
      <c r="A169" s="6">
        <v>3.0</v>
      </c>
      <c r="B169" s="11" t="str">
        <f>Data!E6</f>
        <v>166.50</v>
      </c>
      <c r="C169" s="11"/>
      <c r="D169" s="11"/>
      <c r="E169" s="11"/>
      <c r="F169" s="11"/>
      <c r="G169" s="11"/>
    </row>
    <row r="170" ht="14.25" customHeight="1">
      <c r="A170" s="6">
        <v>4.0</v>
      </c>
      <c r="B170" s="11" t="str">
        <f>Data!E7</f>
        <v>165.00</v>
      </c>
      <c r="C170" s="11"/>
      <c r="D170" s="11"/>
      <c r="E170" s="11"/>
      <c r="F170" s="11"/>
      <c r="G170" s="11"/>
    </row>
    <row r="171" ht="14.25" customHeight="1">
      <c r="A171" s="6">
        <v>5.0</v>
      </c>
      <c r="B171" s="11" t="str">
        <f>Data!E8</f>
        <v>170.10</v>
      </c>
      <c r="C171" s="11" t="str">
        <f t="shared" ref="C171:C190" si="26">AVERAGE(B167:B171)</f>
        <v>167.52</v>
      </c>
      <c r="D171" s="11"/>
      <c r="E171" s="11"/>
      <c r="F171" s="11"/>
      <c r="G171" s="11"/>
    </row>
    <row r="172" ht="14.25" customHeight="1">
      <c r="A172" s="6">
        <v>6.0</v>
      </c>
      <c r="B172" s="11" t="str">
        <f>Data!E9</f>
        <v>165.90</v>
      </c>
      <c r="C172" s="11" t="str">
        <f t="shared" si="26"/>
        <v>165.74</v>
      </c>
      <c r="D172" s="11"/>
      <c r="E172" s="11"/>
      <c r="F172" s="11"/>
      <c r="G172" s="11"/>
    </row>
    <row r="173" ht="14.25" customHeight="1">
      <c r="A173" s="6">
        <v>7.0</v>
      </c>
      <c r="B173" s="11" t="str">
        <f>Data!E10</f>
        <v>161.90</v>
      </c>
      <c r="C173" s="11" t="str">
        <f t="shared" si="26"/>
        <v>165.88</v>
      </c>
      <c r="D173" s="11"/>
      <c r="E173" s="11"/>
      <c r="F173" s="11"/>
      <c r="G173" s="11"/>
    </row>
    <row r="174" ht="14.25" customHeight="1">
      <c r="A174" s="6">
        <v>8.0</v>
      </c>
      <c r="B174" s="11" t="str">
        <f>Data!E11</f>
        <v>163.10</v>
      </c>
      <c r="C174" s="11" t="str">
        <f t="shared" si="26"/>
        <v>165.20</v>
      </c>
      <c r="D174" s="11"/>
      <c r="E174" s="11"/>
      <c r="F174" s="11"/>
      <c r="G174" s="11"/>
    </row>
    <row r="175" ht="14.25" customHeight="1">
      <c r="A175" s="6">
        <v>9.0</v>
      </c>
      <c r="B175" s="11" t="str">
        <f>Data!E12</f>
        <v>168.40</v>
      </c>
      <c r="C175" s="11" t="str">
        <f t="shared" si="26"/>
        <v>165.88</v>
      </c>
      <c r="D175" s="11" t="str">
        <f t="shared" ref="D175:D190" si="27">AVERAGE(C171:C175)</f>
        <v>166.04</v>
      </c>
      <c r="E175" s="11" t="str">
        <f t="shared" ref="E175:E190" si="28">2*C175-D175</f>
        <v>165.72</v>
      </c>
      <c r="F175" s="11" t="str">
        <f t="shared" ref="F175:F190" si="29">(2/(5-1))*(C175-D175)</f>
        <v>-0.08</v>
      </c>
      <c r="G175" s="11" t="str">
        <f t="shared" ref="G175:G190" si="30">E175+F175*1</f>
        <v>165.63</v>
      </c>
    </row>
    <row r="176" ht="14.25" customHeight="1">
      <c r="A176" s="6">
        <v>10.0</v>
      </c>
      <c r="B176" s="11" t="str">
        <f>Data!E13</f>
        <v>168.30</v>
      </c>
      <c r="C176" s="11" t="str">
        <f t="shared" si="26"/>
        <v>165.52</v>
      </c>
      <c r="D176" s="11" t="str">
        <f t="shared" si="27"/>
        <v>165.64</v>
      </c>
      <c r="E176" s="11" t="str">
        <f t="shared" si="28"/>
        <v>165.40</v>
      </c>
      <c r="F176" s="11" t="str">
        <f t="shared" si="29"/>
        <v>-0.06</v>
      </c>
      <c r="G176" s="11" t="str">
        <f t="shared" si="30"/>
        <v>165.33</v>
      </c>
    </row>
    <row r="177" ht="14.25" customHeight="1">
      <c r="A177" s="6">
        <v>11.0</v>
      </c>
      <c r="B177" s="11" t="str">
        <f>Data!E14</f>
        <v>163.90</v>
      </c>
      <c r="C177" s="11" t="str">
        <f t="shared" si="26"/>
        <v>165.12</v>
      </c>
      <c r="D177" s="11" t="str">
        <f t="shared" si="27"/>
        <v>165.52</v>
      </c>
      <c r="E177" s="11" t="str">
        <f t="shared" si="28"/>
        <v>164.72</v>
      </c>
      <c r="F177" s="11" t="str">
        <f t="shared" si="29"/>
        <v>-0.20</v>
      </c>
      <c r="G177" s="11" t="str">
        <f t="shared" si="30"/>
        <v>164.52</v>
      </c>
    </row>
    <row r="178" ht="14.25" customHeight="1">
      <c r="A178" s="6">
        <v>12.0</v>
      </c>
      <c r="B178" s="11" t="str">
        <f>Data!E15</f>
        <v>172.60</v>
      </c>
      <c r="C178" s="11" t="str">
        <f t="shared" si="26"/>
        <v>167.26</v>
      </c>
      <c r="D178" s="11" t="str">
        <f t="shared" si="27"/>
        <v>165.80</v>
      </c>
      <c r="E178" s="11" t="str">
        <f t="shared" si="28"/>
        <v>168.72</v>
      </c>
      <c r="F178" s="11" t="str">
        <f t="shared" si="29"/>
        <v>0.73</v>
      </c>
      <c r="G178" s="11" t="str">
        <f t="shared" si="30"/>
        <v>169.46</v>
      </c>
    </row>
    <row r="179" ht="14.25" customHeight="1">
      <c r="A179" s="6">
        <v>13.0</v>
      </c>
      <c r="B179" s="11" t="str">
        <f>Data!E16</f>
        <v>173.40</v>
      </c>
      <c r="C179" s="11" t="str">
        <f t="shared" si="26"/>
        <v>169.32</v>
      </c>
      <c r="D179" s="11" t="str">
        <f t="shared" si="27"/>
        <v>166.62</v>
      </c>
      <c r="E179" s="11" t="str">
        <f t="shared" si="28"/>
        <v>172.02</v>
      </c>
      <c r="F179" s="11" t="str">
        <f t="shared" si="29"/>
        <v>1.35</v>
      </c>
      <c r="G179" s="11" t="str">
        <f t="shared" si="30"/>
        <v>173.37</v>
      </c>
    </row>
    <row r="180" ht="14.25" customHeight="1">
      <c r="A180" s="6">
        <v>14.0</v>
      </c>
      <c r="B180" s="11" t="str">
        <f>Data!E17</f>
        <v>170.50</v>
      </c>
      <c r="C180" s="11" t="str">
        <f t="shared" si="26"/>
        <v>169.74</v>
      </c>
      <c r="D180" s="11" t="str">
        <f t="shared" si="27"/>
        <v>167.39</v>
      </c>
      <c r="E180" s="11" t="str">
        <f t="shared" si="28"/>
        <v>172.09</v>
      </c>
      <c r="F180" s="11" t="str">
        <f t="shared" si="29"/>
        <v>1.17</v>
      </c>
      <c r="G180" s="11" t="str">
        <f t="shared" si="30"/>
        <v>173.26</v>
      </c>
    </row>
    <row r="181" ht="14.25" customHeight="1">
      <c r="A181" s="6">
        <v>15.0</v>
      </c>
      <c r="B181" s="11" t="str">
        <f>Data!E18</f>
        <v>175.50</v>
      </c>
      <c r="C181" s="11" t="str">
        <f t="shared" si="26"/>
        <v>171.18</v>
      </c>
      <c r="D181" s="11" t="str">
        <f t="shared" si="27"/>
        <v>168.52</v>
      </c>
      <c r="E181" s="11" t="str">
        <f t="shared" si="28"/>
        <v>173.84</v>
      </c>
      <c r="F181" s="11" t="str">
        <f t="shared" si="29"/>
        <v>1.33</v>
      </c>
      <c r="G181" s="11" t="str">
        <f t="shared" si="30"/>
        <v>175.16</v>
      </c>
    </row>
    <row r="182" ht="14.25" customHeight="1">
      <c r="A182" s="6">
        <v>16.0</v>
      </c>
      <c r="B182" s="11" t="str">
        <f>Data!E19</f>
        <v>187.00</v>
      </c>
      <c r="C182" s="11" t="str">
        <f t="shared" si="26"/>
        <v>175.80</v>
      </c>
      <c r="D182" s="11" t="str">
        <f t="shared" si="27"/>
        <v>170.66</v>
      </c>
      <c r="E182" s="11" t="str">
        <f t="shared" si="28"/>
        <v>180.94</v>
      </c>
      <c r="F182" s="11" t="str">
        <f t="shared" si="29"/>
        <v>2.57</v>
      </c>
      <c r="G182" s="11" t="str">
        <f t="shared" si="30"/>
        <v>183.51</v>
      </c>
    </row>
    <row r="183" ht="14.25" customHeight="1">
      <c r="A183" s="6">
        <v>17.0</v>
      </c>
      <c r="B183" s="11" t="str">
        <f>Data!E20</f>
        <v>185.50</v>
      </c>
      <c r="C183" s="11" t="str">
        <f t="shared" si="26"/>
        <v>178.38</v>
      </c>
      <c r="D183" s="11" t="str">
        <f t="shared" si="27"/>
        <v>172.88</v>
      </c>
      <c r="E183" s="11" t="str">
        <f t="shared" si="28"/>
        <v>183.88</v>
      </c>
      <c r="F183" s="11" t="str">
        <f t="shared" si="29"/>
        <v>2.75</v>
      </c>
      <c r="G183" s="11" t="str">
        <f t="shared" si="30"/>
        <v>186.62</v>
      </c>
    </row>
    <row r="184" ht="14.25" customHeight="1">
      <c r="A184" s="6">
        <v>18.0</v>
      </c>
      <c r="B184" s="11" t="str">
        <f>Data!E21</f>
        <v>181.60</v>
      </c>
      <c r="C184" s="11" t="str">
        <f t="shared" si="26"/>
        <v>180.02</v>
      </c>
      <c r="D184" s="11" t="str">
        <f t="shared" si="27"/>
        <v>175.02</v>
      </c>
      <c r="E184" s="11" t="str">
        <f t="shared" si="28"/>
        <v>185.02</v>
      </c>
      <c r="F184" s="11" t="str">
        <f t="shared" si="29"/>
        <v>2.50</v>
      </c>
      <c r="G184" s="11" t="str">
        <f t="shared" si="30"/>
        <v>187.51</v>
      </c>
    </row>
    <row r="185" ht="14.25" customHeight="1">
      <c r="A185" s="6">
        <v>19.0</v>
      </c>
      <c r="B185" s="11" t="str">
        <f>Data!E22</f>
        <v>189.10</v>
      </c>
      <c r="C185" s="11" t="str">
        <f t="shared" si="26"/>
        <v>183.74</v>
      </c>
      <c r="D185" s="11" t="str">
        <f t="shared" si="27"/>
        <v>177.82</v>
      </c>
      <c r="E185" s="11" t="str">
        <f t="shared" si="28"/>
        <v>189.66</v>
      </c>
      <c r="F185" s="11" t="str">
        <f t="shared" si="29"/>
        <v>2.96</v>
      </c>
      <c r="G185" s="11" t="str">
        <f t="shared" si="30"/>
        <v>192.61</v>
      </c>
    </row>
    <row r="186" ht="14.25" customHeight="1">
      <c r="A186" s="6">
        <v>20.0</v>
      </c>
      <c r="B186" s="11" t="str">
        <f>Data!E23</f>
        <v>192.90</v>
      </c>
      <c r="C186" s="11" t="str">
        <f t="shared" si="26"/>
        <v>187.22</v>
      </c>
      <c r="D186" s="11" t="str">
        <f t="shared" si="27"/>
        <v>181.03</v>
      </c>
      <c r="E186" s="11" t="str">
        <f t="shared" si="28"/>
        <v>193.41</v>
      </c>
      <c r="F186" s="11" t="str">
        <f t="shared" si="29"/>
        <v>3.09</v>
      </c>
      <c r="G186" s="11" t="str">
        <f t="shared" si="30"/>
        <v>196.50</v>
      </c>
    </row>
    <row r="187" ht="14.25" customHeight="1">
      <c r="A187" s="6">
        <v>21.0</v>
      </c>
      <c r="B187" s="11" t="str">
        <f>Data!E24</f>
        <v>196.70</v>
      </c>
      <c r="C187" s="11" t="str">
        <f t="shared" si="26"/>
        <v>189.16</v>
      </c>
      <c r="D187" s="11" t="str">
        <f t="shared" si="27"/>
        <v>183.70</v>
      </c>
      <c r="E187" s="11" t="str">
        <f t="shared" si="28"/>
        <v>194.62</v>
      </c>
      <c r="F187" s="11" t="str">
        <f t="shared" si="29"/>
        <v>2.73</v>
      </c>
      <c r="G187" s="11" t="str">
        <f t="shared" si="30"/>
        <v>197.34</v>
      </c>
    </row>
    <row r="188" ht="14.25" customHeight="1">
      <c r="A188" s="6">
        <v>22.0</v>
      </c>
      <c r="B188" s="11" t="str">
        <f>Data!E25</f>
        <v>194.10</v>
      </c>
      <c r="C188" s="11" t="str">
        <f t="shared" si="26"/>
        <v>190.88</v>
      </c>
      <c r="D188" s="11" t="str">
        <f t="shared" si="27"/>
        <v>186.20</v>
      </c>
      <c r="E188" s="11" t="str">
        <f t="shared" si="28"/>
        <v>195.56</v>
      </c>
      <c r="F188" s="11" t="str">
        <f t="shared" si="29"/>
        <v>2.34</v>
      </c>
      <c r="G188" s="11" t="str">
        <f t="shared" si="30"/>
        <v>197.89</v>
      </c>
    </row>
    <row r="189" ht="14.25" customHeight="1">
      <c r="A189" s="6">
        <v>23.0</v>
      </c>
      <c r="B189" s="11" t="str">
        <f>Data!E26</f>
        <v>187.50</v>
      </c>
      <c r="C189" s="11" t="str">
        <f t="shared" si="26"/>
        <v>192.06</v>
      </c>
      <c r="D189" s="11" t="str">
        <f t="shared" si="27"/>
        <v>188.61</v>
      </c>
      <c r="E189" s="11" t="str">
        <f t="shared" si="28"/>
        <v>195.51</v>
      </c>
      <c r="F189" s="11" t="str">
        <f t="shared" si="29"/>
        <v>1.72</v>
      </c>
      <c r="G189" s="11" t="str">
        <f t="shared" si="30"/>
        <v>197.23</v>
      </c>
    </row>
    <row r="190" ht="14.25" customHeight="1">
      <c r="A190" s="6">
        <v>24.0</v>
      </c>
      <c r="B190" s="11" t="str">
        <f>Data!E27</f>
        <v>192.90</v>
      </c>
      <c r="C190" s="11" t="str">
        <f t="shared" si="26"/>
        <v>192.82</v>
      </c>
      <c r="D190" s="11" t="str">
        <f t="shared" si="27"/>
        <v>190.43</v>
      </c>
      <c r="E190" s="11" t="str">
        <f t="shared" si="28"/>
        <v>195.21</v>
      </c>
      <c r="F190" s="11" t="str">
        <f t="shared" si="29"/>
        <v>1.20</v>
      </c>
      <c r="G190" s="11" t="str">
        <f t="shared" si="30"/>
        <v>196.41</v>
      </c>
    </row>
    <row r="191" ht="14.25" customHeight="1">
      <c r="A191" s="2" t="s">
        <v>16</v>
      </c>
      <c r="G191" s="12" t="str">
        <f>SUMPRODUCT((B176:B190-G175:G189)^2)/COUNT(G175:G189)</f>
        <v>27.500</v>
      </c>
    </row>
    <row r="192" ht="14.25" customHeight="1">
      <c r="A192" s="2" t="s">
        <v>17</v>
      </c>
      <c r="G192" s="12" t="str">
        <f>SUMPRODUCT(ABS(B176:B190-G175:G189))/COUNT(G175:G189)</f>
        <v>4.008</v>
      </c>
    </row>
    <row r="193" ht="14.25" customHeight="1">
      <c r="A193" s="2" t="s">
        <v>18</v>
      </c>
      <c r="G193" s="13" t="str">
        <f>SUMPRODUCT(ABS(B176:B190-G175:G189)/B176:B190)/COUNT(G175:G189)*100</f>
        <v>2.21</v>
      </c>
    </row>
    <row r="194" ht="14.25" customHeight="1">
      <c r="A194" s="2" t="s">
        <v>29</v>
      </c>
      <c r="G194" s="13" t="str">
        <f>G190</f>
        <v>196.41</v>
      </c>
    </row>
    <row r="195" ht="14.25" customHeight="1"/>
    <row r="196" ht="14.25" customHeight="1">
      <c r="A196" s="2" t="s">
        <v>19</v>
      </c>
      <c r="B196" s="14" t="str">
        <f>IF(G129=MIN(G129,G160,G191),3,IF(G160=MIN(G129,G160,G191),4,5))</f>
        <v>4</v>
      </c>
    </row>
    <row r="197" ht="14.25" customHeight="1">
      <c r="A197" s="2" t="s">
        <v>20</v>
      </c>
      <c r="B197" s="15" t="str">
        <f>MIN(G129,G160,G191)</f>
        <v>24.180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10.0"/>
    <col customWidth="1" min="3" max="11" width="9.0"/>
  </cols>
  <sheetData>
    <row r="1" ht="14.25" customHeight="1">
      <c r="A1" s="9" t="s">
        <v>35</v>
      </c>
    </row>
    <row r="2" ht="14.25" customHeight="1">
      <c r="A2" s="16"/>
    </row>
    <row r="3" ht="14.25" customHeight="1"/>
    <row r="4" ht="14.25" customHeight="1">
      <c r="A4" s="10" t="s">
        <v>8</v>
      </c>
    </row>
    <row r="5" ht="14.25" customHeight="1">
      <c r="A5" s="5" t="s">
        <v>2</v>
      </c>
      <c r="B5" s="5" t="s">
        <v>9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</row>
    <row r="6" ht="14.25" customHeight="1">
      <c r="A6" s="6">
        <v>1.0</v>
      </c>
      <c r="B6" s="11" t="str">
        <f>Data!C4</f>
        <v>107.00</v>
      </c>
      <c r="C6" s="11" t="str">
        <f>B6</f>
        <v>107.00</v>
      </c>
      <c r="D6" s="11" t="str">
        <f>B6</f>
        <v>107.00</v>
      </c>
      <c r="E6" s="11" t="str">
        <f>B6</f>
        <v>107.00</v>
      </c>
      <c r="F6" s="11" t="str">
        <f>B6</f>
        <v>107.00</v>
      </c>
      <c r="G6" s="11" t="str">
        <f>B6</f>
        <v>107.00</v>
      </c>
      <c r="H6" s="11" t="str">
        <f>B6</f>
        <v>107.00</v>
      </c>
      <c r="I6" s="11" t="str">
        <f>B6</f>
        <v>107.00</v>
      </c>
      <c r="J6" s="11" t="str">
        <f>B6</f>
        <v>107.00</v>
      </c>
      <c r="K6" s="11" t="str">
        <f>B6</f>
        <v>107.00</v>
      </c>
    </row>
    <row r="7" ht="14.25" customHeight="1">
      <c r="A7" s="6">
        <v>2.0</v>
      </c>
      <c r="B7" s="11" t="str">
        <f>Data!C5</f>
        <v>82.00</v>
      </c>
      <c r="C7" s="11" t="str">
        <f t="shared" ref="C7:C29" si="1">0.1*B6+(1-0.1)*C6</f>
        <v>107.00</v>
      </c>
      <c r="D7" s="11" t="str">
        <f t="shared" ref="D7:D29" si="2">0.2*B6+(1-0.2)*D6</f>
        <v>107.00</v>
      </c>
      <c r="E7" s="11" t="str">
        <f t="shared" ref="E7:E29" si="3">0.3*B6+(1-0.3)*E6</f>
        <v>107.00</v>
      </c>
      <c r="F7" s="11" t="str">
        <f t="shared" ref="F7:F29" si="4">0.4*B6+(1-0.4)*F6</f>
        <v>107.00</v>
      </c>
      <c r="G7" s="11" t="str">
        <f t="shared" ref="G7:G29" si="5">0.5*B6+(1-0.5)*G6</f>
        <v>107.00</v>
      </c>
      <c r="H7" s="11" t="str">
        <f t="shared" ref="H7:H29" si="6">0.6*B6+(1-0.6)*H6</f>
        <v>107.00</v>
      </c>
      <c r="I7" s="11" t="str">
        <f t="shared" ref="I7:I29" si="7">0.7*B6+(1-0.7)*I6</f>
        <v>107.00</v>
      </c>
      <c r="J7" s="11" t="str">
        <f t="shared" ref="J7:J29" si="8">0.8*B6+(1-0.8)*J6</f>
        <v>107.00</v>
      </c>
      <c r="K7" s="11" t="str">
        <f t="shared" ref="K7:K29" si="9">0.9*B6+(1-0.9)*K6</f>
        <v>107.00</v>
      </c>
    </row>
    <row r="8" ht="14.25" customHeight="1">
      <c r="A8" s="6">
        <v>3.0</v>
      </c>
      <c r="B8" s="11" t="str">
        <f>Data!C6</f>
        <v>97.00</v>
      </c>
      <c r="C8" s="11" t="str">
        <f t="shared" si="1"/>
        <v>104.50</v>
      </c>
      <c r="D8" s="11" t="str">
        <f t="shared" si="2"/>
        <v>102.00</v>
      </c>
      <c r="E8" s="11" t="str">
        <f t="shared" si="3"/>
        <v>99.50</v>
      </c>
      <c r="F8" s="11" t="str">
        <f t="shared" si="4"/>
        <v>97.00</v>
      </c>
      <c r="G8" s="11" t="str">
        <f t="shared" si="5"/>
        <v>94.50</v>
      </c>
      <c r="H8" s="11" t="str">
        <f t="shared" si="6"/>
        <v>92.00</v>
      </c>
      <c r="I8" s="11" t="str">
        <f t="shared" si="7"/>
        <v>89.50</v>
      </c>
      <c r="J8" s="11" t="str">
        <f t="shared" si="8"/>
        <v>87.00</v>
      </c>
      <c r="K8" s="11" t="str">
        <f t="shared" si="9"/>
        <v>84.50</v>
      </c>
    </row>
    <row r="9" ht="14.25" customHeight="1">
      <c r="A9" s="6">
        <v>4.0</v>
      </c>
      <c r="B9" s="11" t="str">
        <f>Data!C7</f>
        <v>92.00</v>
      </c>
      <c r="C9" s="11" t="str">
        <f t="shared" si="1"/>
        <v>103.75</v>
      </c>
      <c r="D9" s="11" t="str">
        <f t="shared" si="2"/>
        <v>101.00</v>
      </c>
      <c r="E9" s="11" t="str">
        <f t="shared" si="3"/>
        <v>98.75</v>
      </c>
      <c r="F9" s="11" t="str">
        <f t="shared" si="4"/>
        <v>97.00</v>
      </c>
      <c r="G9" s="11" t="str">
        <f t="shared" si="5"/>
        <v>95.75</v>
      </c>
      <c r="H9" s="11" t="str">
        <f t="shared" si="6"/>
        <v>95.00</v>
      </c>
      <c r="I9" s="11" t="str">
        <f t="shared" si="7"/>
        <v>94.75</v>
      </c>
      <c r="J9" s="11" t="str">
        <f t="shared" si="8"/>
        <v>95.00</v>
      </c>
      <c r="K9" s="11" t="str">
        <f t="shared" si="9"/>
        <v>95.75</v>
      </c>
    </row>
    <row r="10" ht="14.25" customHeight="1">
      <c r="A10" s="6">
        <v>5.0</v>
      </c>
      <c r="B10" s="11" t="str">
        <f>Data!C8</f>
        <v>102.00</v>
      </c>
      <c r="C10" s="11" t="str">
        <f t="shared" si="1"/>
        <v>102.58</v>
      </c>
      <c r="D10" s="11" t="str">
        <f t="shared" si="2"/>
        <v>99.20</v>
      </c>
      <c r="E10" s="11" t="str">
        <f t="shared" si="3"/>
        <v>96.73</v>
      </c>
      <c r="F10" s="11" t="str">
        <f t="shared" si="4"/>
        <v>95.00</v>
      </c>
      <c r="G10" s="11" t="str">
        <f t="shared" si="5"/>
        <v>93.88</v>
      </c>
      <c r="H10" s="11" t="str">
        <f t="shared" si="6"/>
        <v>93.20</v>
      </c>
      <c r="I10" s="11" t="str">
        <f t="shared" si="7"/>
        <v>92.83</v>
      </c>
      <c r="J10" s="11" t="str">
        <f t="shared" si="8"/>
        <v>92.60</v>
      </c>
      <c r="K10" s="11" t="str">
        <f t="shared" si="9"/>
        <v>92.38</v>
      </c>
    </row>
    <row r="11" ht="14.25" customHeight="1">
      <c r="A11" s="6">
        <v>6.0</v>
      </c>
      <c r="B11" s="11" t="str">
        <f>Data!C9</f>
        <v>92.00</v>
      </c>
      <c r="C11" s="11" t="str">
        <f t="shared" si="1"/>
        <v>102.52</v>
      </c>
      <c r="D11" s="11" t="str">
        <f t="shared" si="2"/>
        <v>99.76</v>
      </c>
      <c r="E11" s="11" t="str">
        <f t="shared" si="3"/>
        <v>98.31</v>
      </c>
      <c r="F11" s="11" t="str">
        <f t="shared" si="4"/>
        <v>97.80</v>
      </c>
      <c r="G11" s="11" t="str">
        <f t="shared" si="5"/>
        <v>97.94</v>
      </c>
      <c r="H11" s="11" t="str">
        <f t="shared" si="6"/>
        <v>98.48</v>
      </c>
      <c r="I11" s="11" t="str">
        <f t="shared" si="7"/>
        <v>99.25</v>
      </c>
      <c r="J11" s="11" t="str">
        <f t="shared" si="8"/>
        <v>100.12</v>
      </c>
      <c r="K11" s="11" t="str">
        <f t="shared" si="9"/>
        <v>101.04</v>
      </c>
    </row>
    <row r="12" ht="14.25" customHeight="1">
      <c r="A12" s="6">
        <v>7.0</v>
      </c>
      <c r="B12" s="11" t="str">
        <f>Data!C10</f>
        <v>87.00</v>
      </c>
      <c r="C12" s="11" t="str">
        <f t="shared" si="1"/>
        <v>101.47</v>
      </c>
      <c r="D12" s="11" t="str">
        <f t="shared" si="2"/>
        <v>98.21</v>
      </c>
      <c r="E12" s="11" t="str">
        <f t="shared" si="3"/>
        <v>96.42</v>
      </c>
      <c r="F12" s="11" t="str">
        <f t="shared" si="4"/>
        <v>95.48</v>
      </c>
      <c r="G12" s="11" t="str">
        <f t="shared" si="5"/>
        <v>94.97</v>
      </c>
      <c r="H12" s="11" t="str">
        <f t="shared" si="6"/>
        <v>94.59</v>
      </c>
      <c r="I12" s="11" t="str">
        <f t="shared" si="7"/>
        <v>94.17</v>
      </c>
      <c r="J12" s="11" t="str">
        <f t="shared" si="8"/>
        <v>93.62</v>
      </c>
      <c r="K12" s="11" t="str">
        <f t="shared" si="9"/>
        <v>92.90</v>
      </c>
    </row>
    <row r="13" ht="14.25" customHeight="1">
      <c r="A13" s="6">
        <v>8.0</v>
      </c>
      <c r="B13" s="11" t="str">
        <f>Data!C11</f>
        <v>87.00</v>
      </c>
      <c r="C13" s="11" t="str">
        <f t="shared" si="1"/>
        <v>100.02</v>
      </c>
      <c r="D13" s="11" t="str">
        <f t="shared" si="2"/>
        <v>95.97</v>
      </c>
      <c r="E13" s="11" t="str">
        <f t="shared" si="3"/>
        <v>93.59</v>
      </c>
      <c r="F13" s="11" t="str">
        <f t="shared" si="4"/>
        <v>92.09</v>
      </c>
      <c r="G13" s="11" t="str">
        <f t="shared" si="5"/>
        <v>90.98</v>
      </c>
      <c r="H13" s="11" t="str">
        <f t="shared" si="6"/>
        <v>90.04</v>
      </c>
      <c r="I13" s="11" t="str">
        <f t="shared" si="7"/>
        <v>89.15</v>
      </c>
      <c r="J13" s="11" t="str">
        <f t="shared" si="8"/>
        <v>88.32</v>
      </c>
      <c r="K13" s="11" t="str">
        <f t="shared" si="9"/>
        <v>87.59</v>
      </c>
    </row>
    <row r="14" ht="14.25" customHeight="1">
      <c r="A14" s="6">
        <v>9.0</v>
      </c>
      <c r="B14" s="11" t="str">
        <f>Data!C12</f>
        <v>97.00</v>
      </c>
      <c r="C14" s="11" t="str">
        <f t="shared" si="1"/>
        <v>98.72</v>
      </c>
      <c r="D14" s="11" t="str">
        <f t="shared" si="2"/>
        <v>94.17</v>
      </c>
      <c r="E14" s="11" t="str">
        <f t="shared" si="3"/>
        <v>91.61</v>
      </c>
      <c r="F14" s="11" t="str">
        <f t="shared" si="4"/>
        <v>90.05</v>
      </c>
      <c r="G14" s="11" t="str">
        <f t="shared" si="5"/>
        <v>88.99</v>
      </c>
      <c r="H14" s="11" t="str">
        <f t="shared" si="6"/>
        <v>88.21</v>
      </c>
      <c r="I14" s="11" t="str">
        <f t="shared" si="7"/>
        <v>87.65</v>
      </c>
      <c r="J14" s="11" t="str">
        <f t="shared" si="8"/>
        <v>87.26</v>
      </c>
      <c r="K14" s="11" t="str">
        <f t="shared" si="9"/>
        <v>87.06</v>
      </c>
    </row>
    <row r="15" ht="14.25" customHeight="1">
      <c r="A15" s="6">
        <v>10.0</v>
      </c>
      <c r="B15" s="11" t="str">
        <f>Data!C13</f>
        <v>97.00</v>
      </c>
      <c r="C15" s="11" t="str">
        <f t="shared" si="1"/>
        <v>98.55</v>
      </c>
      <c r="D15" s="11" t="str">
        <f t="shared" si="2"/>
        <v>94.74</v>
      </c>
      <c r="E15" s="11" t="str">
        <f t="shared" si="3"/>
        <v>93.23</v>
      </c>
      <c r="F15" s="11" t="str">
        <f t="shared" si="4"/>
        <v>92.83</v>
      </c>
      <c r="G15" s="11" t="str">
        <f t="shared" si="5"/>
        <v>93.00</v>
      </c>
      <c r="H15" s="11" t="str">
        <f t="shared" si="6"/>
        <v>93.49</v>
      </c>
      <c r="I15" s="11" t="str">
        <f t="shared" si="7"/>
        <v>94.19</v>
      </c>
      <c r="J15" s="11" t="str">
        <f t="shared" si="8"/>
        <v>95.05</v>
      </c>
      <c r="K15" s="11" t="str">
        <f t="shared" si="9"/>
        <v>96.01</v>
      </c>
    </row>
    <row r="16" ht="14.25" customHeight="1">
      <c r="A16" s="6">
        <v>11.0</v>
      </c>
      <c r="B16" s="11" t="str">
        <f>Data!C14</f>
        <v>87.00</v>
      </c>
      <c r="C16" s="11" t="str">
        <f t="shared" si="1"/>
        <v>98.39</v>
      </c>
      <c r="D16" s="11" t="str">
        <f t="shared" si="2"/>
        <v>95.19</v>
      </c>
      <c r="E16" s="11" t="str">
        <f t="shared" si="3"/>
        <v>94.36</v>
      </c>
      <c r="F16" s="11" t="str">
        <f t="shared" si="4"/>
        <v>94.50</v>
      </c>
      <c r="G16" s="11" t="str">
        <f t="shared" si="5"/>
        <v>95.00</v>
      </c>
      <c r="H16" s="11" t="str">
        <f t="shared" si="6"/>
        <v>95.59</v>
      </c>
      <c r="I16" s="11" t="str">
        <f t="shared" si="7"/>
        <v>96.16</v>
      </c>
      <c r="J16" s="11" t="str">
        <f t="shared" si="8"/>
        <v>96.61</v>
      </c>
      <c r="K16" s="11" t="str">
        <f t="shared" si="9"/>
        <v>96.90</v>
      </c>
    </row>
    <row r="17" ht="14.25" customHeight="1">
      <c r="A17" s="6">
        <v>12.0</v>
      </c>
      <c r="B17" s="11" t="str">
        <f>Data!C15</f>
        <v>102.00</v>
      </c>
      <c r="C17" s="11" t="str">
        <f t="shared" si="1"/>
        <v>97.25</v>
      </c>
      <c r="D17" s="11" t="str">
        <f t="shared" si="2"/>
        <v>93.55</v>
      </c>
      <c r="E17" s="11" t="str">
        <f t="shared" si="3"/>
        <v>92.15</v>
      </c>
      <c r="F17" s="11" t="str">
        <f t="shared" si="4"/>
        <v>91.50</v>
      </c>
      <c r="G17" s="11" t="str">
        <f t="shared" si="5"/>
        <v>91.00</v>
      </c>
      <c r="H17" s="11" t="str">
        <f t="shared" si="6"/>
        <v>90.44</v>
      </c>
      <c r="I17" s="11" t="str">
        <f t="shared" si="7"/>
        <v>89.75</v>
      </c>
      <c r="J17" s="11" t="str">
        <f t="shared" si="8"/>
        <v>88.92</v>
      </c>
      <c r="K17" s="11" t="str">
        <f t="shared" si="9"/>
        <v>87.99</v>
      </c>
    </row>
    <row r="18" ht="14.25" customHeight="1">
      <c r="A18" s="6">
        <v>13.0</v>
      </c>
      <c r="B18" s="11" t="str">
        <f>Data!C16</f>
        <v>97.00</v>
      </c>
      <c r="C18" s="11" t="str">
        <f t="shared" si="1"/>
        <v>97.73</v>
      </c>
      <c r="D18" s="11" t="str">
        <f t="shared" si="2"/>
        <v>95.24</v>
      </c>
      <c r="E18" s="11" t="str">
        <f t="shared" si="3"/>
        <v>95.11</v>
      </c>
      <c r="F18" s="11" t="str">
        <f t="shared" si="4"/>
        <v>95.70</v>
      </c>
      <c r="G18" s="11" t="str">
        <f t="shared" si="5"/>
        <v>96.50</v>
      </c>
      <c r="H18" s="11" t="str">
        <f t="shared" si="6"/>
        <v>97.38</v>
      </c>
      <c r="I18" s="11" t="str">
        <f t="shared" si="7"/>
        <v>98.32</v>
      </c>
      <c r="J18" s="11" t="str">
        <f t="shared" si="8"/>
        <v>99.38</v>
      </c>
      <c r="K18" s="11" t="str">
        <f t="shared" si="9"/>
        <v>100.60</v>
      </c>
    </row>
    <row r="19" ht="14.25" customHeight="1">
      <c r="A19" s="6">
        <v>14.0</v>
      </c>
      <c r="B19" s="11" t="str">
        <f>Data!C17</f>
        <v>87.00</v>
      </c>
      <c r="C19" s="11" t="str">
        <f t="shared" si="1"/>
        <v>97.65</v>
      </c>
      <c r="D19" s="11" t="str">
        <f t="shared" si="2"/>
        <v>95.59</v>
      </c>
      <c r="E19" s="11" t="str">
        <f t="shared" si="3"/>
        <v>95.67</v>
      </c>
      <c r="F19" s="11" t="str">
        <f t="shared" si="4"/>
        <v>96.22</v>
      </c>
      <c r="G19" s="11" t="str">
        <f t="shared" si="5"/>
        <v>96.75</v>
      </c>
      <c r="H19" s="11" t="str">
        <f t="shared" si="6"/>
        <v>97.15</v>
      </c>
      <c r="I19" s="11" t="str">
        <f t="shared" si="7"/>
        <v>97.40</v>
      </c>
      <c r="J19" s="11" t="str">
        <f t="shared" si="8"/>
        <v>97.48</v>
      </c>
      <c r="K19" s="11" t="str">
        <f t="shared" si="9"/>
        <v>97.36</v>
      </c>
    </row>
    <row r="20" ht="14.25" customHeight="1">
      <c r="A20" s="6">
        <v>15.0</v>
      </c>
      <c r="B20" s="11" t="str">
        <f>Data!C18</f>
        <v>92.00</v>
      </c>
      <c r="C20" s="11" t="str">
        <f t="shared" si="1"/>
        <v>96.59</v>
      </c>
      <c r="D20" s="11" t="str">
        <f t="shared" si="2"/>
        <v>93.87</v>
      </c>
      <c r="E20" s="11" t="str">
        <f t="shared" si="3"/>
        <v>93.07</v>
      </c>
      <c r="F20" s="11" t="str">
        <f t="shared" si="4"/>
        <v>92.53</v>
      </c>
      <c r="G20" s="11" t="str">
        <f t="shared" si="5"/>
        <v>91.87</v>
      </c>
      <c r="H20" s="11" t="str">
        <f t="shared" si="6"/>
        <v>91.06</v>
      </c>
      <c r="I20" s="11" t="str">
        <f t="shared" si="7"/>
        <v>90.12</v>
      </c>
      <c r="J20" s="11" t="str">
        <f t="shared" si="8"/>
        <v>89.10</v>
      </c>
      <c r="K20" s="11" t="str">
        <f t="shared" si="9"/>
        <v>88.04</v>
      </c>
    </row>
    <row r="21" ht="14.25" customHeight="1">
      <c r="A21" s="6">
        <v>16.0</v>
      </c>
      <c r="B21" s="11" t="str">
        <f>Data!C19</f>
        <v>107.00</v>
      </c>
      <c r="C21" s="11" t="str">
        <f t="shared" si="1"/>
        <v>96.13</v>
      </c>
      <c r="D21" s="11" t="str">
        <f t="shared" si="2"/>
        <v>93.50</v>
      </c>
      <c r="E21" s="11" t="str">
        <f t="shared" si="3"/>
        <v>92.75</v>
      </c>
      <c r="F21" s="11" t="str">
        <f t="shared" si="4"/>
        <v>92.32</v>
      </c>
      <c r="G21" s="11" t="str">
        <f t="shared" si="5"/>
        <v>91.94</v>
      </c>
      <c r="H21" s="11" t="str">
        <f t="shared" si="6"/>
        <v>91.62</v>
      </c>
      <c r="I21" s="11" t="str">
        <f t="shared" si="7"/>
        <v>91.44</v>
      </c>
      <c r="J21" s="11" t="str">
        <f t="shared" si="8"/>
        <v>91.42</v>
      </c>
      <c r="K21" s="11" t="str">
        <f t="shared" si="9"/>
        <v>91.60</v>
      </c>
    </row>
    <row r="22" ht="14.25" customHeight="1">
      <c r="A22" s="6">
        <v>17.0</v>
      </c>
      <c r="B22" s="11" t="str">
        <f>Data!C20</f>
        <v>97.00</v>
      </c>
      <c r="C22" s="11" t="str">
        <f t="shared" si="1"/>
        <v>97.22</v>
      </c>
      <c r="D22" s="11" t="str">
        <f t="shared" si="2"/>
        <v>96.20</v>
      </c>
      <c r="E22" s="11" t="str">
        <f t="shared" si="3"/>
        <v>97.03</v>
      </c>
      <c r="F22" s="11" t="str">
        <f t="shared" si="4"/>
        <v>98.19</v>
      </c>
      <c r="G22" s="11" t="str">
        <f t="shared" si="5"/>
        <v>99.47</v>
      </c>
      <c r="H22" s="11" t="str">
        <f t="shared" si="6"/>
        <v>100.85</v>
      </c>
      <c r="I22" s="11" t="str">
        <f t="shared" si="7"/>
        <v>102.33</v>
      </c>
      <c r="J22" s="11" t="str">
        <f t="shared" si="8"/>
        <v>103.88</v>
      </c>
      <c r="K22" s="11" t="str">
        <f t="shared" si="9"/>
        <v>105.46</v>
      </c>
    </row>
    <row r="23" ht="14.25" customHeight="1">
      <c r="A23" s="6">
        <v>18.0</v>
      </c>
      <c r="B23" s="11" t="str">
        <f>Data!C21</f>
        <v>87.00</v>
      </c>
      <c r="C23" s="11" t="str">
        <f t="shared" si="1"/>
        <v>97.20</v>
      </c>
      <c r="D23" s="11" t="str">
        <f t="shared" si="2"/>
        <v>96.36</v>
      </c>
      <c r="E23" s="11" t="str">
        <f t="shared" si="3"/>
        <v>97.02</v>
      </c>
      <c r="F23" s="11" t="str">
        <f t="shared" si="4"/>
        <v>97.71</v>
      </c>
      <c r="G23" s="11" t="str">
        <f t="shared" si="5"/>
        <v>98.23</v>
      </c>
      <c r="H23" s="11" t="str">
        <f t="shared" si="6"/>
        <v>98.54</v>
      </c>
      <c r="I23" s="11" t="str">
        <f t="shared" si="7"/>
        <v>98.60</v>
      </c>
      <c r="J23" s="11" t="str">
        <f t="shared" si="8"/>
        <v>98.38</v>
      </c>
      <c r="K23" s="11" t="str">
        <f t="shared" si="9"/>
        <v>97.85</v>
      </c>
    </row>
    <row r="24" ht="14.25" customHeight="1">
      <c r="A24" s="6">
        <v>19.0</v>
      </c>
      <c r="B24" s="11" t="str">
        <f>Data!C22</f>
        <v>97.00</v>
      </c>
      <c r="C24" s="11" t="str">
        <f t="shared" si="1"/>
        <v>96.18</v>
      </c>
      <c r="D24" s="11" t="str">
        <f t="shared" si="2"/>
        <v>94.49</v>
      </c>
      <c r="E24" s="11" t="str">
        <f t="shared" si="3"/>
        <v>94.01</v>
      </c>
      <c r="F24" s="11" t="str">
        <f t="shared" si="4"/>
        <v>93.43</v>
      </c>
      <c r="G24" s="11" t="str">
        <f t="shared" si="5"/>
        <v>92.62</v>
      </c>
      <c r="H24" s="11" t="str">
        <f t="shared" si="6"/>
        <v>91.62</v>
      </c>
      <c r="I24" s="11" t="str">
        <f t="shared" si="7"/>
        <v>90.48</v>
      </c>
      <c r="J24" s="11" t="str">
        <f t="shared" si="8"/>
        <v>89.28</v>
      </c>
      <c r="K24" s="11" t="str">
        <f t="shared" si="9"/>
        <v>88.08</v>
      </c>
    </row>
    <row r="25" ht="14.25" customHeight="1">
      <c r="A25" s="6">
        <v>20.0</v>
      </c>
      <c r="B25" s="11" t="str">
        <f>Data!C23</f>
        <v>102.00</v>
      </c>
      <c r="C25" s="11" t="str">
        <f t="shared" si="1"/>
        <v>96.26</v>
      </c>
      <c r="D25" s="11" t="str">
        <f t="shared" si="2"/>
        <v>94.99</v>
      </c>
      <c r="E25" s="11" t="str">
        <f t="shared" si="3"/>
        <v>94.91</v>
      </c>
      <c r="F25" s="11" t="str">
        <f t="shared" si="4"/>
        <v>94.86</v>
      </c>
      <c r="G25" s="11" t="str">
        <f t="shared" si="5"/>
        <v>94.81</v>
      </c>
      <c r="H25" s="11" t="str">
        <f t="shared" si="6"/>
        <v>94.85</v>
      </c>
      <c r="I25" s="11" t="str">
        <f t="shared" si="7"/>
        <v>95.04</v>
      </c>
      <c r="J25" s="11" t="str">
        <f t="shared" si="8"/>
        <v>95.46</v>
      </c>
      <c r="K25" s="11" t="str">
        <f t="shared" si="9"/>
        <v>96.11</v>
      </c>
    </row>
    <row r="26" ht="14.25" customHeight="1">
      <c r="A26" s="6">
        <v>21.0</v>
      </c>
      <c r="B26" s="11" t="str">
        <f>Data!C24</f>
        <v>107.00</v>
      </c>
      <c r="C26" s="11" t="str">
        <f t="shared" si="1"/>
        <v>96.83</v>
      </c>
      <c r="D26" s="11" t="str">
        <f t="shared" si="2"/>
        <v>96.39</v>
      </c>
      <c r="E26" s="11" t="str">
        <f t="shared" si="3"/>
        <v>97.04</v>
      </c>
      <c r="F26" s="11" t="str">
        <f t="shared" si="4"/>
        <v>97.71</v>
      </c>
      <c r="G26" s="11" t="str">
        <f t="shared" si="5"/>
        <v>98.40</v>
      </c>
      <c r="H26" s="11" t="str">
        <f t="shared" si="6"/>
        <v>99.14</v>
      </c>
      <c r="I26" s="11" t="str">
        <f t="shared" si="7"/>
        <v>99.91</v>
      </c>
      <c r="J26" s="11" t="str">
        <f t="shared" si="8"/>
        <v>100.69</v>
      </c>
      <c r="K26" s="11" t="str">
        <f t="shared" si="9"/>
        <v>101.41</v>
      </c>
    </row>
    <row r="27" ht="14.25" customHeight="1">
      <c r="A27" s="6">
        <v>22.0</v>
      </c>
      <c r="B27" s="11" t="str">
        <f>Data!C25</f>
        <v>97.00</v>
      </c>
      <c r="C27" s="11" t="str">
        <f t="shared" si="1"/>
        <v>97.85</v>
      </c>
      <c r="D27" s="11" t="str">
        <f t="shared" si="2"/>
        <v>98.51</v>
      </c>
      <c r="E27" s="11" t="str">
        <f t="shared" si="3"/>
        <v>100.03</v>
      </c>
      <c r="F27" s="11" t="str">
        <f t="shared" si="4"/>
        <v>101.43</v>
      </c>
      <c r="G27" s="11" t="str">
        <f t="shared" si="5"/>
        <v>102.70</v>
      </c>
      <c r="H27" s="11" t="str">
        <f t="shared" si="6"/>
        <v>103.86</v>
      </c>
      <c r="I27" s="11" t="str">
        <f t="shared" si="7"/>
        <v>104.87</v>
      </c>
      <c r="J27" s="11" t="str">
        <f t="shared" si="8"/>
        <v>105.74</v>
      </c>
      <c r="K27" s="11" t="str">
        <f t="shared" si="9"/>
        <v>106.44</v>
      </c>
    </row>
    <row r="28" ht="14.25" customHeight="1">
      <c r="A28" s="6">
        <v>23.0</v>
      </c>
      <c r="B28" s="11" t="str">
        <f>Data!C26</f>
        <v>82.00</v>
      </c>
      <c r="C28" s="11" t="str">
        <f t="shared" si="1"/>
        <v>97.76</v>
      </c>
      <c r="D28" s="11" t="str">
        <f t="shared" si="2"/>
        <v>98.21</v>
      </c>
      <c r="E28" s="11" t="str">
        <f t="shared" si="3"/>
        <v>99.12</v>
      </c>
      <c r="F28" s="11" t="str">
        <f t="shared" si="4"/>
        <v>99.66</v>
      </c>
      <c r="G28" s="11" t="str">
        <f t="shared" si="5"/>
        <v>99.85</v>
      </c>
      <c r="H28" s="11" t="str">
        <f t="shared" si="6"/>
        <v>99.74</v>
      </c>
      <c r="I28" s="11" t="str">
        <f t="shared" si="7"/>
        <v>99.36</v>
      </c>
      <c r="J28" s="11" t="str">
        <f t="shared" si="8"/>
        <v>98.75</v>
      </c>
      <c r="K28" s="11" t="str">
        <f t="shared" si="9"/>
        <v>97.94</v>
      </c>
    </row>
    <row r="29" ht="14.25" customHeight="1">
      <c r="A29" s="6">
        <v>24.0</v>
      </c>
      <c r="B29" s="11" t="str">
        <f>Data!C27</f>
        <v>87.00</v>
      </c>
      <c r="C29" s="11" t="str">
        <f t="shared" si="1"/>
        <v>96.19</v>
      </c>
      <c r="D29" s="11" t="str">
        <f t="shared" si="2"/>
        <v>94.97</v>
      </c>
      <c r="E29" s="11" t="str">
        <f t="shared" si="3"/>
        <v>93.98</v>
      </c>
      <c r="F29" s="11" t="str">
        <f t="shared" si="4"/>
        <v>92.59</v>
      </c>
      <c r="G29" s="11" t="str">
        <f t="shared" si="5"/>
        <v>90.93</v>
      </c>
      <c r="H29" s="11" t="str">
        <f t="shared" si="6"/>
        <v>89.10</v>
      </c>
      <c r="I29" s="11" t="str">
        <f t="shared" si="7"/>
        <v>87.21</v>
      </c>
      <c r="J29" s="11" t="str">
        <f t="shared" si="8"/>
        <v>85.35</v>
      </c>
      <c r="K29" s="11" t="str">
        <f t="shared" si="9"/>
        <v>83.59</v>
      </c>
    </row>
    <row r="30" ht="14.25" customHeight="1"/>
    <row r="31" ht="14.25" customHeight="1">
      <c r="B31" s="17" t="s">
        <v>45</v>
      </c>
      <c r="C31" s="18">
        <v>0.1</v>
      </c>
      <c r="D31" s="18">
        <v>0.2</v>
      </c>
      <c r="E31" s="18">
        <v>0.3</v>
      </c>
      <c r="F31" s="18">
        <v>0.4</v>
      </c>
      <c r="G31" s="18">
        <v>0.5</v>
      </c>
      <c r="H31" s="18">
        <v>0.6</v>
      </c>
      <c r="I31" s="18">
        <v>0.7</v>
      </c>
      <c r="J31" s="18">
        <v>0.8</v>
      </c>
      <c r="K31" s="18">
        <v>0.9</v>
      </c>
    </row>
    <row r="32" ht="14.25" customHeight="1">
      <c r="B32" s="17" t="s">
        <v>16</v>
      </c>
      <c r="C32" s="12" t="str">
        <f>SUMPRODUCT((B7:B29-C7:C29)^2)/COUNT(C7:C29)</f>
        <v>99.764</v>
      </c>
      <c r="D32" s="12" t="str">
        <f>SUMPRODUCT((B7:B29-D7:D29)^2)/COUNT(D7:D29)</f>
        <v>87.137</v>
      </c>
      <c r="E32" s="12" t="str">
        <f>SUMPRODUCT((B7:B29-E7:E29)^2)/COUNT(E7:E29)</f>
        <v>85.378</v>
      </c>
      <c r="F32" s="12" t="str">
        <f>SUMPRODUCT((B7:B29-F7:F29)^2)/COUNT(F7:F29)</f>
        <v>86.695</v>
      </c>
      <c r="G32" s="12" t="str">
        <f>SUMPRODUCT((B7:B29-G7:G29)^2)/COUNT(G7:G29)</f>
        <v>89.435</v>
      </c>
      <c r="H32" s="12" t="str">
        <f>SUMPRODUCT((B7:B29-H7:H29)^2)/COUNT(H7:H29)</f>
        <v>92.999</v>
      </c>
      <c r="I32" s="12" t="str">
        <f>SUMPRODUCT((B7:B29-I7:I29)^2)/COUNT(I7:I29)</f>
        <v>97.139</v>
      </c>
      <c r="J32" s="12" t="str">
        <f>SUMPRODUCT((B7:B29-J7:J29)^2)/COUNT(J7:J29)</f>
        <v>101.792</v>
      </c>
      <c r="K32" s="12" t="str">
        <f>SUMPRODUCT((B7:B29-K7:K29)^2)/COUNT(K7:K29)</f>
        <v>107.025</v>
      </c>
    </row>
    <row r="33" ht="14.25" customHeight="1">
      <c r="B33" s="17" t="s">
        <v>17</v>
      </c>
      <c r="C33" s="12" t="str">
        <f>SUMPRODUCT(ABS(B7:B29-C7:C29))/COUNT(C7:C29)</f>
        <v>7.914</v>
      </c>
      <c r="D33" s="12" t="str">
        <f>SUMPRODUCT(ABS(B7:B29-D7:D29))/COUNT(D7:D29)</f>
        <v>7.529</v>
      </c>
      <c r="E33" s="12" t="str">
        <f>SUMPRODUCT(ABS(B7:B29-E7:E29))/COUNT(E7:E29)</f>
        <v>7.448</v>
      </c>
      <c r="F33" s="12" t="str">
        <f>SUMPRODUCT(ABS(B7:B29-F7:F29))/COUNT(F7:F29)</f>
        <v>7.426</v>
      </c>
      <c r="G33" s="12" t="str">
        <f>SUMPRODUCT(ABS(B7:B29-G7:G29))/COUNT(G7:G29)</f>
        <v>7.612</v>
      </c>
      <c r="H33" s="12" t="str">
        <f>SUMPRODUCT(ABS(B7:B29-H7:H29))/COUNT(H7:H29)</f>
        <v>7.856</v>
      </c>
      <c r="I33" s="12" t="str">
        <f>SUMPRODUCT(ABS(B7:B29-I7:I29))/COUNT(I7:I29)</f>
        <v>8.116</v>
      </c>
      <c r="J33" s="12" t="str">
        <f>SUMPRODUCT(ABS(B7:B29-J7:J29))/COUNT(J7:J29)</f>
        <v>8.485</v>
      </c>
      <c r="K33" s="12" t="str">
        <f>SUMPRODUCT(ABS(B7:B29-K7:K29))/COUNT(K7:K29)</f>
        <v>8.829</v>
      </c>
    </row>
    <row r="34" ht="14.25" customHeight="1">
      <c r="B34" s="17" t="s">
        <v>18</v>
      </c>
      <c r="C34" s="13" t="str">
        <f>SUMPRODUCT(ABS(B7:B29-C7:C29)/B7:B29)/COUNT(C7:C29)*100</f>
        <v>8.80</v>
      </c>
      <c r="D34" s="13" t="str">
        <f>SUMPRODUCT(ABS(B7:B29-D7:D29)/B7:B29)/COUNT(D7:D29)*100</f>
        <v>8.28</v>
      </c>
      <c r="E34" s="13" t="str">
        <f>SUMPRODUCT(ABS(B7:B29-E7:E29)/B7:B29)/COUNT(E7:E29)*100</f>
        <v>8.16</v>
      </c>
      <c r="F34" s="13" t="str">
        <f>SUMPRODUCT(ABS(B7:B29-F7:F29)/B7:B29)/COUNT(F7:F29)*100</f>
        <v>8.12</v>
      </c>
      <c r="G34" s="13" t="str">
        <f>SUMPRODUCT(ABS(B7:B29-G7:G29)/B7:B29)/COUNT(G7:G29)*100</f>
        <v>8.30</v>
      </c>
      <c r="H34" s="13" t="str">
        <f>SUMPRODUCT(ABS(B7:B29-H7:H29)/B7:B29)/COUNT(H7:H29)*100</f>
        <v>8.54</v>
      </c>
      <c r="I34" s="13" t="str">
        <f>SUMPRODUCT(ABS(B7:B29-I7:I29)/B7:B29)/COUNT(I7:I29)*100</f>
        <v>8.80</v>
      </c>
      <c r="J34" s="13" t="str">
        <f>SUMPRODUCT(ABS(B7:B29-J7:J29)/B7:B29)/COUNT(J7:J29)*100</f>
        <v>9.18</v>
      </c>
      <c r="K34" s="13" t="str">
        <f>SUMPRODUCT(ABS(B7:B29-K7:K29)/B7:B29)/COUNT(K7:K29)*100</f>
        <v>9.54</v>
      </c>
    </row>
    <row r="35" ht="14.25" customHeight="1">
      <c r="A35" s="2" t="s">
        <v>46</v>
      </c>
      <c r="B35" s="18" t="str">
        <f t="array" ref="B35">INDEX(C31:K31,MATCH(MIN(C32:K32),C32:K32,0))</f>
        <v>0.3</v>
      </c>
    </row>
    <row r="36" ht="14.25" customHeight="1">
      <c r="A36" s="2" t="s">
        <v>20</v>
      </c>
      <c r="B36" s="15" t="str">
        <f>MIN(C32:K32)</f>
        <v>85.378</v>
      </c>
    </row>
    <row r="37" ht="14.25" customHeight="1"/>
    <row r="38" ht="14.25" customHeight="1"/>
    <row r="39" ht="14.25" customHeight="1">
      <c r="A39" s="10" t="s">
        <v>21</v>
      </c>
    </row>
    <row r="40" ht="14.25" customHeight="1">
      <c r="A40" s="5" t="s">
        <v>2</v>
      </c>
      <c r="B40" s="5" t="s">
        <v>9</v>
      </c>
      <c r="C40" s="5" t="s">
        <v>36</v>
      </c>
      <c r="D40" s="5" t="s">
        <v>37</v>
      </c>
      <c r="E40" s="5" t="s">
        <v>38</v>
      </c>
      <c r="F40" s="5" t="s">
        <v>39</v>
      </c>
      <c r="G40" s="5" t="s">
        <v>40</v>
      </c>
      <c r="H40" s="5" t="s">
        <v>41</v>
      </c>
      <c r="I40" s="5" t="s">
        <v>42</v>
      </c>
      <c r="J40" s="5" t="s">
        <v>43</v>
      </c>
      <c r="K40" s="5" t="s">
        <v>44</v>
      </c>
    </row>
    <row r="41" ht="14.25" customHeight="1">
      <c r="A41" s="6">
        <v>1.0</v>
      </c>
      <c r="B41" s="11" t="str">
        <f>Data!E4</f>
        <v>174.80</v>
      </c>
      <c r="C41" s="11" t="str">
        <f>B41</f>
        <v>174.80</v>
      </c>
      <c r="D41" s="11" t="str">
        <f>B41</f>
        <v>174.80</v>
      </c>
      <c r="E41" s="11" t="str">
        <f>B41</f>
        <v>174.80</v>
      </c>
      <c r="F41" s="11" t="str">
        <f>B41</f>
        <v>174.80</v>
      </c>
      <c r="G41" s="11" t="str">
        <f>B41</f>
        <v>174.80</v>
      </c>
      <c r="H41" s="11" t="str">
        <f>B41</f>
        <v>174.80</v>
      </c>
      <c r="I41" s="11" t="str">
        <f>B41</f>
        <v>174.80</v>
      </c>
      <c r="J41" s="11" t="str">
        <f>B41</f>
        <v>174.80</v>
      </c>
      <c r="K41" s="11" t="str">
        <f>B41</f>
        <v>174.80</v>
      </c>
    </row>
    <row r="42" ht="14.25" customHeight="1">
      <c r="A42" s="6">
        <v>2.0</v>
      </c>
      <c r="B42" s="11" t="str">
        <f>Data!E5</f>
        <v>161.20</v>
      </c>
      <c r="C42" s="11" t="str">
        <f t="shared" ref="C42:C64" si="10">0.1*B41+(1-0.1)*C41</f>
        <v>174.80</v>
      </c>
      <c r="D42" s="11" t="str">
        <f t="shared" ref="D42:D64" si="11">0.2*B41+(1-0.2)*D41</f>
        <v>174.80</v>
      </c>
      <c r="E42" s="11" t="str">
        <f t="shared" ref="E42:E64" si="12">0.3*B41+(1-0.3)*E41</f>
        <v>174.80</v>
      </c>
      <c r="F42" s="11" t="str">
        <f t="shared" ref="F42:F64" si="13">0.4*B41+(1-0.4)*F41</f>
        <v>174.80</v>
      </c>
      <c r="G42" s="11" t="str">
        <f t="shared" ref="G42:G64" si="14">0.5*B41+(1-0.5)*G41</f>
        <v>174.80</v>
      </c>
      <c r="H42" s="11" t="str">
        <f t="shared" ref="H42:H64" si="15">0.6*B41+(1-0.6)*H41</f>
        <v>174.80</v>
      </c>
      <c r="I42" s="11" t="str">
        <f t="shared" ref="I42:I64" si="16">0.7*B41+(1-0.7)*I41</f>
        <v>174.80</v>
      </c>
      <c r="J42" s="11" t="str">
        <f t="shared" ref="J42:J64" si="17">0.8*B41+(1-0.8)*J41</f>
        <v>174.80</v>
      </c>
      <c r="K42" s="11" t="str">
        <f t="shared" ref="K42:K64" si="18">0.9*B41+(1-0.9)*K41</f>
        <v>174.80</v>
      </c>
    </row>
    <row r="43" ht="14.25" customHeight="1">
      <c r="A43" s="6">
        <v>3.0</v>
      </c>
      <c r="B43" s="11" t="str">
        <f>Data!E6</f>
        <v>166.50</v>
      </c>
      <c r="C43" s="11" t="str">
        <f t="shared" si="10"/>
        <v>173.44</v>
      </c>
      <c r="D43" s="11" t="str">
        <f t="shared" si="11"/>
        <v>172.08</v>
      </c>
      <c r="E43" s="11" t="str">
        <f t="shared" si="12"/>
        <v>170.72</v>
      </c>
      <c r="F43" s="11" t="str">
        <f t="shared" si="13"/>
        <v>169.36</v>
      </c>
      <c r="G43" s="11" t="str">
        <f t="shared" si="14"/>
        <v>168.00</v>
      </c>
      <c r="H43" s="11" t="str">
        <f t="shared" si="15"/>
        <v>166.64</v>
      </c>
      <c r="I43" s="11" t="str">
        <f t="shared" si="16"/>
        <v>165.28</v>
      </c>
      <c r="J43" s="11" t="str">
        <f t="shared" si="17"/>
        <v>163.92</v>
      </c>
      <c r="K43" s="11" t="str">
        <f t="shared" si="18"/>
        <v>162.56</v>
      </c>
    </row>
    <row r="44" ht="14.25" customHeight="1">
      <c r="A44" s="6">
        <v>4.0</v>
      </c>
      <c r="B44" s="11" t="str">
        <f>Data!E7</f>
        <v>165.00</v>
      </c>
      <c r="C44" s="11" t="str">
        <f t="shared" si="10"/>
        <v>172.75</v>
      </c>
      <c r="D44" s="11" t="str">
        <f t="shared" si="11"/>
        <v>170.96</v>
      </c>
      <c r="E44" s="11" t="str">
        <f t="shared" si="12"/>
        <v>169.45</v>
      </c>
      <c r="F44" s="11" t="str">
        <f t="shared" si="13"/>
        <v>168.22</v>
      </c>
      <c r="G44" s="11" t="str">
        <f t="shared" si="14"/>
        <v>167.25</v>
      </c>
      <c r="H44" s="11" t="str">
        <f t="shared" si="15"/>
        <v>166.56</v>
      </c>
      <c r="I44" s="11" t="str">
        <f t="shared" si="16"/>
        <v>166.13</v>
      </c>
      <c r="J44" s="11" t="str">
        <f t="shared" si="17"/>
        <v>165.98</v>
      </c>
      <c r="K44" s="11" t="str">
        <f t="shared" si="18"/>
        <v>166.11</v>
      </c>
    </row>
    <row r="45" ht="14.25" customHeight="1">
      <c r="A45" s="6">
        <v>5.0</v>
      </c>
      <c r="B45" s="11" t="str">
        <f>Data!E8</f>
        <v>170.10</v>
      </c>
      <c r="C45" s="11" t="str">
        <f t="shared" si="10"/>
        <v>171.97</v>
      </c>
      <c r="D45" s="11" t="str">
        <f t="shared" si="11"/>
        <v>169.77</v>
      </c>
      <c r="E45" s="11" t="str">
        <f t="shared" si="12"/>
        <v>168.12</v>
      </c>
      <c r="F45" s="11" t="str">
        <f t="shared" si="13"/>
        <v>166.93</v>
      </c>
      <c r="G45" s="11" t="str">
        <f t="shared" si="14"/>
        <v>166.13</v>
      </c>
      <c r="H45" s="11" t="str">
        <f t="shared" si="15"/>
        <v>165.62</v>
      </c>
      <c r="I45" s="11" t="str">
        <f t="shared" si="16"/>
        <v>165.34</v>
      </c>
      <c r="J45" s="11" t="str">
        <f t="shared" si="17"/>
        <v>165.20</v>
      </c>
      <c r="K45" s="11" t="str">
        <f t="shared" si="18"/>
        <v>165.11</v>
      </c>
    </row>
    <row r="46" ht="14.25" customHeight="1">
      <c r="A46" s="6">
        <v>6.0</v>
      </c>
      <c r="B46" s="11" t="str">
        <f>Data!E9</f>
        <v>165.90</v>
      </c>
      <c r="C46" s="11" t="str">
        <f t="shared" si="10"/>
        <v>171.78</v>
      </c>
      <c r="D46" s="11" t="str">
        <f t="shared" si="11"/>
        <v>169.84</v>
      </c>
      <c r="E46" s="11" t="str">
        <f t="shared" si="12"/>
        <v>168.71</v>
      </c>
      <c r="F46" s="11" t="str">
        <f t="shared" si="13"/>
        <v>168.20</v>
      </c>
      <c r="G46" s="11" t="str">
        <f t="shared" si="14"/>
        <v>168.11</v>
      </c>
      <c r="H46" s="11" t="str">
        <f t="shared" si="15"/>
        <v>168.31</v>
      </c>
      <c r="I46" s="11" t="str">
        <f t="shared" si="16"/>
        <v>168.67</v>
      </c>
      <c r="J46" s="11" t="str">
        <f t="shared" si="17"/>
        <v>169.12</v>
      </c>
      <c r="K46" s="11" t="str">
        <f t="shared" si="18"/>
        <v>169.60</v>
      </c>
    </row>
    <row r="47" ht="14.25" customHeight="1">
      <c r="A47" s="6">
        <v>7.0</v>
      </c>
      <c r="B47" s="11" t="str">
        <f>Data!E10</f>
        <v>161.90</v>
      </c>
      <c r="C47" s="11" t="str">
        <f t="shared" si="10"/>
        <v>171.20</v>
      </c>
      <c r="D47" s="11" t="str">
        <f t="shared" si="11"/>
        <v>169.05</v>
      </c>
      <c r="E47" s="11" t="str">
        <f t="shared" si="12"/>
        <v>167.87</v>
      </c>
      <c r="F47" s="11" t="str">
        <f t="shared" si="13"/>
        <v>167.28</v>
      </c>
      <c r="G47" s="11" t="str">
        <f t="shared" si="14"/>
        <v>167.01</v>
      </c>
      <c r="H47" s="11" t="str">
        <f t="shared" si="15"/>
        <v>166.86</v>
      </c>
      <c r="I47" s="11" t="str">
        <f t="shared" si="16"/>
        <v>166.73</v>
      </c>
      <c r="J47" s="11" t="str">
        <f t="shared" si="17"/>
        <v>166.54</v>
      </c>
      <c r="K47" s="11" t="str">
        <f t="shared" si="18"/>
        <v>166.27</v>
      </c>
    </row>
    <row r="48" ht="14.25" customHeight="1">
      <c r="A48" s="6">
        <v>8.0</v>
      </c>
      <c r="B48" s="11" t="str">
        <f>Data!E11</f>
        <v>163.10</v>
      </c>
      <c r="C48" s="11" t="str">
        <f t="shared" si="10"/>
        <v>170.27</v>
      </c>
      <c r="D48" s="11" t="str">
        <f t="shared" si="11"/>
        <v>167.62</v>
      </c>
      <c r="E48" s="11" t="str">
        <f t="shared" si="12"/>
        <v>166.08</v>
      </c>
      <c r="F48" s="11" t="str">
        <f t="shared" si="13"/>
        <v>165.13</v>
      </c>
      <c r="G48" s="11" t="str">
        <f t="shared" si="14"/>
        <v>164.45</v>
      </c>
      <c r="H48" s="11" t="str">
        <f t="shared" si="15"/>
        <v>163.89</v>
      </c>
      <c r="I48" s="11" t="str">
        <f t="shared" si="16"/>
        <v>163.35</v>
      </c>
      <c r="J48" s="11" t="str">
        <f t="shared" si="17"/>
        <v>162.83</v>
      </c>
      <c r="K48" s="11" t="str">
        <f t="shared" si="18"/>
        <v>162.34</v>
      </c>
    </row>
    <row r="49" ht="14.25" customHeight="1">
      <c r="A49" s="6">
        <v>9.0</v>
      </c>
      <c r="B49" s="11" t="str">
        <f>Data!E12</f>
        <v>168.40</v>
      </c>
      <c r="C49" s="11" t="str">
        <f t="shared" si="10"/>
        <v>169.55</v>
      </c>
      <c r="D49" s="11" t="str">
        <f t="shared" si="11"/>
        <v>166.72</v>
      </c>
      <c r="E49" s="11" t="str">
        <f t="shared" si="12"/>
        <v>165.18</v>
      </c>
      <c r="F49" s="11" t="str">
        <f t="shared" si="13"/>
        <v>164.32</v>
      </c>
      <c r="G49" s="11" t="str">
        <f t="shared" si="14"/>
        <v>163.78</v>
      </c>
      <c r="H49" s="11" t="str">
        <f t="shared" si="15"/>
        <v>163.41</v>
      </c>
      <c r="I49" s="11" t="str">
        <f t="shared" si="16"/>
        <v>163.17</v>
      </c>
      <c r="J49" s="11" t="str">
        <f t="shared" si="17"/>
        <v>163.05</v>
      </c>
      <c r="K49" s="11" t="str">
        <f t="shared" si="18"/>
        <v>163.02</v>
      </c>
    </row>
    <row r="50" ht="14.25" customHeight="1">
      <c r="A50" s="6">
        <v>10.0</v>
      </c>
      <c r="B50" s="11" t="str">
        <f>Data!E13</f>
        <v>168.30</v>
      </c>
      <c r="C50" s="11" t="str">
        <f t="shared" si="10"/>
        <v>169.43</v>
      </c>
      <c r="D50" s="11" t="str">
        <f t="shared" si="11"/>
        <v>167.05</v>
      </c>
      <c r="E50" s="11" t="str">
        <f t="shared" si="12"/>
        <v>166.15</v>
      </c>
      <c r="F50" s="11" t="str">
        <f t="shared" si="13"/>
        <v>165.95</v>
      </c>
      <c r="G50" s="11" t="str">
        <f t="shared" si="14"/>
        <v>166.09</v>
      </c>
      <c r="H50" s="11" t="str">
        <f t="shared" si="15"/>
        <v>166.41</v>
      </c>
      <c r="I50" s="11" t="str">
        <f t="shared" si="16"/>
        <v>166.83</v>
      </c>
      <c r="J50" s="11" t="str">
        <f t="shared" si="17"/>
        <v>167.33</v>
      </c>
      <c r="K50" s="11" t="str">
        <f t="shared" si="18"/>
        <v>167.86</v>
      </c>
    </row>
    <row r="51" ht="14.25" customHeight="1">
      <c r="A51" s="6">
        <v>11.0</v>
      </c>
      <c r="B51" s="11" t="str">
        <f>Data!E14</f>
        <v>163.90</v>
      </c>
      <c r="C51" s="11" t="str">
        <f t="shared" si="10"/>
        <v>169.32</v>
      </c>
      <c r="D51" s="11" t="str">
        <f t="shared" si="11"/>
        <v>167.30</v>
      </c>
      <c r="E51" s="11" t="str">
        <f t="shared" si="12"/>
        <v>166.79</v>
      </c>
      <c r="F51" s="11" t="str">
        <f t="shared" si="13"/>
        <v>166.89</v>
      </c>
      <c r="G51" s="11" t="str">
        <f t="shared" si="14"/>
        <v>167.19</v>
      </c>
      <c r="H51" s="11" t="str">
        <f t="shared" si="15"/>
        <v>167.54</v>
      </c>
      <c r="I51" s="11" t="str">
        <f t="shared" si="16"/>
        <v>167.86</v>
      </c>
      <c r="J51" s="11" t="str">
        <f t="shared" si="17"/>
        <v>168.11</v>
      </c>
      <c r="K51" s="11" t="str">
        <f t="shared" si="18"/>
        <v>168.26</v>
      </c>
    </row>
    <row r="52" ht="14.25" customHeight="1">
      <c r="A52" s="6">
        <v>12.0</v>
      </c>
      <c r="B52" s="11" t="str">
        <f>Data!E15</f>
        <v>172.60</v>
      </c>
      <c r="C52" s="11" t="str">
        <f t="shared" si="10"/>
        <v>168.78</v>
      </c>
      <c r="D52" s="11" t="str">
        <f t="shared" si="11"/>
        <v>166.62</v>
      </c>
      <c r="E52" s="11" t="str">
        <f t="shared" si="12"/>
        <v>165.93</v>
      </c>
      <c r="F52" s="11" t="str">
        <f t="shared" si="13"/>
        <v>165.69</v>
      </c>
      <c r="G52" s="11" t="str">
        <f t="shared" si="14"/>
        <v>165.55</v>
      </c>
      <c r="H52" s="11" t="str">
        <f t="shared" si="15"/>
        <v>165.36</v>
      </c>
      <c r="I52" s="11" t="str">
        <f t="shared" si="16"/>
        <v>165.09</v>
      </c>
      <c r="J52" s="11" t="str">
        <f t="shared" si="17"/>
        <v>164.74</v>
      </c>
      <c r="K52" s="11" t="str">
        <f t="shared" si="18"/>
        <v>164.34</v>
      </c>
    </row>
    <row r="53" ht="14.25" customHeight="1">
      <c r="A53" s="6">
        <v>13.0</v>
      </c>
      <c r="B53" s="11" t="str">
        <f>Data!E16</f>
        <v>173.40</v>
      </c>
      <c r="C53" s="11" t="str">
        <f t="shared" si="10"/>
        <v>169.16</v>
      </c>
      <c r="D53" s="11" t="str">
        <f t="shared" si="11"/>
        <v>167.82</v>
      </c>
      <c r="E53" s="11" t="str">
        <f t="shared" si="12"/>
        <v>167.93</v>
      </c>
      <c r="F53" s="11" t="str">
        <f t="shared" si="13"/>
        <v>168.46</v>
      </c>
      <c r="G53" s="11" t="str">
        <f t="shared" si="14"/>
        <v>169.07</v>
      </c>
      <c r="H53" s="11" t="str">
        <f t="shared" si="15"/>
        <v>169.70</v>
      </c>
      <c r="I53" s="11" t="str">
        <f t="shared" si="16"/>
        <v>170.35</v>
      </c>
      <c r="J53" s="11" t="str">
        <f t="shared" si="17"/>
        <v>171.03</v>
      </c>
      <c r="K53" s="11" t="str">
        <f t="shared" si="18"/>
        <v>171.77</v>
      </c>
    </row>
    <row r="54" ht="14.25" customHeight="1">
      <c r="A54" s="6">
        <v>14.0</v>
      </c>
      <c r="B54" s="11" t="str">
        <f>Data!E17</f>
        <v>170.50</v>
      </c>
      <c r="C54" s="11" t="str">
        <f t="shared" si="10"/>
        <v>169.59</v>
      </c>
      <c r="D54" s="11" t="str">
        <f t="shared" si="11"/>
        <v>168.93</v>
      </c>
      <c r="E54" s="11" t="str">
        <f t="shared" si="12"/>
        <v>169.57</v>
      </c>
      <c r="F54" s="11" t="str">
        <f t="shared" si="13"/>
        <v>170.43</v>
      </c>
      <c r="G54" s="11" t="str">
        <f t="shared" si="14"/>
        <v>171.24</v>
      </c>
      <c r="H54" s="11" t="str">
        <f t="shared" si="15"/>
        <v>171.92</v>
      </c>
      <c r="I54" s="11" t="str">
        <f t="shared" si="16"/>
        <v>172.48</v>
      </c>
      <c r="J54" s="11" t="str">
        <f t="shared" si="17"/>
        <v>172.93</v>
      </c>
      <c r="K54" s="11" t="str">
        <f t="shared" si="18"/>
        <v>173.24</v>
      </c>
    </row>
    <row r="55" ht="14.25" customHeight="1">
      <c r="A55" s="6">
        <v>15.0</v>
      </c>
      <c r="B55" s="11" t="str">
        <f>Data!E18</f>
        <v>175.50</v>
      </c>
      <c r="C55" s="11" t="str">
        <f t="shared" si="10"/>
        <v>169.68</v>
      </c>
      <c r="D55" s="11" t="str">
        <f t="shared" si="11"/>
        <v>169.25</v>
      </c>
      <c r="E55" s="11" t="str">
        <f t="shared" si="12"/>
        <v>169.85</v>
      </c>
      <c r="F55" s="11" t="str">
        <f t="shared" si="13"/>
        <v>170.46</v>
      </c>
      <c r="G55" s="11" t="str">
        <f t="shared" si="14"/>
        <v>170.87</v>
      </c>
      <c r="H55" s="11" t="str">
        <f t="shared" si="15"/>
        <v>171.07</v>
      </c>
      <c r="I55" s="11" t="str">
        <f t="shared" si="16"/>
        <v>171.10</v>
      </c>
      <c r="J55" s="11" t="str">
        <f t="shared" si="17"/>
        <v>170.99</v>
      </c>
      <c r="K55" s="11" t="str">
        <f t="shared" si="18"/>
        <v>170.77</v>
      </c>
    </row>
    <row r="56" ht="14.25" customHeight="1">
      <c r="A56" s="6">
        <v>16.0</v>
      </c>
      <c r="B56" s="11" t="str">
        <f>Data!E19</f>
        <v>187.00</v>
      </c>
      <c r="C56" s="11" t="str">
        <f t="shared" si="10"/>
        <v>170.26</v>
      </c>
      <c r="D56" s="11" t="str">
        <f t="shared" si="11"/>
        <v>170.50</v>
      </c>
      <c r="E56" s="11" t="str">
        <f t="shared" si="12"/>
        <v>171.54</v>
      </c>
      <c r="F56" s="11" t="str">
        <f t="shared" si="13"/>
        <v>172.48</v>
      </c>
      <c r="G56" s="11" t="str">
        <f t="shared" si="14"/>
        <v>173.18</v>
      </c>
      <c r="H56" s="11" t="str">
        <f t="shared" si="15"/>
        <v>173.73</v>
      </c>
      <c r="I56" s="11" t="str">
        <f t="shared" si="16"/>
        <v>174.18</v>
      </c>
      <c r="J56" s="11" t="str">
        <f t="shared" si="17"/>
        <v>174.60</v>
      </c>
      <c r="K56" s="11" t="str">
        <f t="shared" si="18"/>
        <v>175.03</v>
      </c>
    </row>
    <row r="57" ht="14.25" customHeight="1">
      <c r="A57" s="6">
        <v>17.0</v>
      </c>
      <c r="B57" s="11" t="str">
        <f>Data!E20</f>
        <v>185.50</v>
      </c>
      <c r="C57" s="11" t="str">
        <f t="shared" si="10"/>
        <v>171.93</v>
      </c>
      <c r="D57" s="11" t="str">
        <f t="shared" si="11"/>
        <v>173.80</v>
      </c>
      <c r="E57" s="11" t="str">
        <f t="shared" si="12"/>
        <v>176.18</v>
      </c>
      <c r="F57" s="11" t="str">
        <f t="shared" si="13"/>
        <v>178.29</v>
      </c>
      <c r="G57" s="11" t="str">
        <f t="shared" si="14"/>
        <v>180.09</v>
      </c>
      <c r="H57" s="11" t="str">
        <f t="shared" si="15"/>
        <v>181.69</v>
      </c>
      <c r="I57" s="11" t="str">
        <f t="shared" si="16"/>
        <v>183.15</v>
      </c>
      <c r="J57" s="11" t="str">
        <f t="shared" si="17"/>
        <v>184.52</v>
      </c>
      <c r="K57" s="11" t="str">
        <f t="shared" si="18"/>
        <v>185.80</v>
      </c>
    </row>
    <row r="58" ht="14.25" customHeight="1">
      <c r="A58" s="6">
        <v>18.0</v>
      </c>
      <c r="B58" s="11" t="str">
        <f>Data!E21</f>
        <v>181.60</v>
      </c>
      <c r="C58" s="11" t="str">
        <f t="shared" si="10"/>
        <v>173.29</v>
      </c>
      <c r="D58" s="11" t="str">
        <f t="shared" si="11"/>
        <v>176.14</v>
      </c>
      <c r="E58" s="11" t="str">
        <f t="shared" si="12"/>
        <v>178.98</v>
      </c>
      <c r="F58" s="11" t="str">
        <f t="shared" si="13"/>
        <v>181.17</v>
      </c>
      <c r="G58" s="11" t="str">
        <f t="shared" si="14"/>
        <v>182.80</v>
      </c>
      <c r="H58" s="11" t="str">
        <f t="shared" si="15"/>
        <v>183.98</v>
      </c>
      <c r="I58" s="11" t="str">
        <f t="shared" si="16"/>
        <v>184.80</v>
      </c>
      <c r="J58" s="11" t="str">
        <f t="shared" si="17"/>
        <v>185.30</v>
      </c>
      <c r="K58" s="11" t="str">
        <f t="shared" si="18"/>
        <v>185.53</v>
      </c>
    </row>
    <row r="59" ht="14.25" customHeight="1">
      <c r="A59" s="6">
        <v>19.0</v>
      </c>
      <c r="B59" s="11" t="str">
        <f>Data!E22</f>
        <v>189.10</v>
      </c>
      <c r="C59" s="11" t="str">
        <f t="shared" si="10"/>
        <v>174.12</v>
      </c>
      <c r="D59" s="11" t="str">
        <f t="shared" si="11"/>
        <v>177.23</v>
      </c>
      <c r="E59" s="11" t="str">
        <f t="shared" si="12"/>
        <v>179.76</v>
      </c>
      <c r="F59" s="11" t="str">
        <f t="shared" si="13"/>
        <v>181.34</v>
      </c>
      <c r="G59" s="11" t="str">
        <f t="shared" si="14"/>
        <v>182.20</v>
      </c>
      <c r="H59" s="11" t="str">
        <f t="shared" si="15"/>
        <v>182.55</v>
      </c>
      <c r="I59" s="11" t="str">
        <f t="shared" si="16"/>
        <v>182.56</v>
      </c>
      <c r="J59" s="11" t="str">
        <f t="shared" si="17"/>
        <v>182.34</v>
      </c>
      <c r="K59" s="11" t="str">
        <f t="shared" si="18"/>
        <v>181.99</v>
      </c>
    </row>
    <row r="60" ht="14.25" customHeight="1">
      <c r="A60" s="6">
        <v>20.0</v>
      </c>
      <c r="B60" s="11" t="str">
        <f>Data!E23</f>
        <v>192.90</v>
      </c>
      <c r="C60" s="11" t="str">
        <f t="shared" si="10"/>
        <v>175.62</v>
      </c>
      <c r="D60" s="11" t="str">
        <f t="shared" si="11"/>
        <v>179.60</v>
      </c>
      <c r="E60" s="11" t="str">
        <f t="shared" si="12"/>
        <v>182.56</v>
      </c>
      <c r="F60" s="11" t="str">
        <f t="shared" si="13"/>
        <v>184.45</v>
      </c>
      <c r="G60" s="11" t="str">
        <f t="shared" si="14"/>
        <v>185.65</v>
      </c>
      <c r="H60" s="11" t="str">
        <f t="shared" si="15"/>
        <v>186.48</v>
      </c>
      <c r="I60" s="11" t="str">
        <f t="shared" si="16"/>
        <v>187.14</v>
      </c>
      <c r="J60" s="11" t="str">
        <f t="shared" si="17"/>
        <v>187.75</v>
      </c>
      <c r="K60" s="11" t="str">
        <f t="shared" si="18"/>
        <v>188.39</v>
      </c>
    </row>
    <row r="61" ht="14.25" customHeight="1">
      <c r="A61" s="6">
        <v>21.0</v>
      </c>
      <c r="B61" s="11" t="str">
        <f>Data!E24</f>
        <v>196.70</v>
      </c>
      <c r="C61" s="11" t="str">
        <f t="shared" si="10"/>
        <v>177.35</v>
      </c>
      <c r="D61" s="11" t="str">
        <f t="shared" si="11"/>
        <v>182.26</v>
      </c>
      <c r="E61" s="11" t="str">
        <f t="shared" si="12"/>
        <v>185.67</v>
      </c>
      <c r="F61" s="11" t="str">
        <f t="shared" si="13"/>
        <v>187.83</v>
      </c>
      <c r="G61" s="11" t="str">
        <f t="shared" si="14"/>
        <v>189.27</v>
      </c>
      <c r="H61" s="11" t="str">
        <f t="shared" si="15"/>
        <v>190.33</v>
      </c>
      <c r="I61" s="11" t="str">
        <f t="shared" si="16"/>
        <v>191.17</v>
      </c>
      <c r="J61" s="11" t="str">
        <f t="shared" si="17"/>
        <v>191.87</v>
      </c>
      <c r="K61" s="11" t="str">
        <f t="shared" si="18"/>
        <v>192.45</v>
      </c>
    </row>
    <row r="62" ht="14.25" customHeight="1">
      <c r="A62" s="6">
        <v>22.0</v>
      </c>
      <c r="B62" s="11" t="str">
        <f>Data!E25</f>
        <v>194.10</v>
      </c>
      <c r="C62" s="11" t="str">
        <f t="shared" si="10"/>
        <v>179.28</v>
      </c>
      <c r="D62" s="11" t="str">
        <f t="shared" si="11"/>
        <v>185.15</v>
      </c>
      <c r="E62" s="11" t="str">
        <f t="shared" si="12"/>
        <v>188.98</v>
      </c>
      <c r="F62" s="11" t="str">
        <f t="shared" si="13"/>
        <v>191.38</v>
      </c>
      <c r="G62" s="11" t="str">
        <f t="shared" si="14"/>
        <v>192.99</v>
      </c>
      <c r="H62" s="11" t="str">
        <f t="shared" si="15"/>
        <v>194.15</v>
      </c>
      <c r="I62" s="11" t="str">
        <f t="shared" si="16"/>
        <v>195.04</v>
      </c>
      <c r="J62" s="11" t="str">
        <f t="shared" si="17"/>
        <v>195.73</v>
      </c>
      <c r="K62" s="11" t="str">
        <f t="shared" si="18"/>
        <v>196.27</v>
      </c>
    </row>
    <row r="63" ht="14.25" customHeight="1">
      <c r="A63" s="6">
        <v>23.0</v>
      </c>
      <c r="B63" s="11" t="str">
        <f>Data!E26</f>
        <v>187.50</v>
      </c>
      <c r="C63" s="11" t="str">
        <f t="shared" si="10"/>
        <v>180.76</v>
      </c>
      <c r="D63" s="11" t="str">
        <f t="shared" si="11"/>
        <v>186.94</v>
      </c>
      <c r="E63" s="11" t="str">
        <f t="shared" si="12"/>
        <v>190.51</v>
      </c>
      <c r="F63" s="11" t="str">
        <f t="shared" si="13"/>
        <v>192.47</v>
      </c>
      <c r="G63" s="11" t="str">
        <f t="shared" si="14"/>
        <v>193.54</v>
      </c>
      <c r="H63" s="11" t="str">
        <f t="shared" si="15"/>
        <v>194.12</v>
      </c>
      <c r="I63" s="11" t="str">
        <f t="shared" si="16"/>
        <v>194.38</v>
      </c>
      <c r="J63" s="11" t="str">
        <f t="shared" si="17"/>
        <v>194.43</v>
      </c>
      <c r="K63" s="11" t="str">
        <f t="shared" si="18"/>
        <v>194.32</v>
      </c>
    </row>
    <row r="64" ht="14.25" customHeight="1">
      <c r="A64" s="6">
        <v>24.0</v>
      </c>
      <c r="B64" s="11" t="str">
        <f>Data!E27</f>
        <v>192.90</v>
      </c>
      <c r="C64" s="11" t="str">
        <f t="shared" si="10"/>
        <v>181.44</v>
      </c>
      <c r="D64" s="11" t="str">
        <f t="shared" si="11"/>
        <v>187.05</v>
      </c>
      <c r="E64" s="11" t="str">
        <f t="shared" si="12"/>
        <v>189.61</v>
      </c>
      <c r="F64" s="11" t="str">
        <f t="shared" si="13"/>
        <v>190.48</v>
      </c>
      <c r="G64" s="11" t="str">
        <f t="shared" si="14"/>
        <v>190.52</v>
      </c>
      <c r="H64" s="11" t="str">
        <f t="shared" si="15"/>
        <v>190.15</v>
      </c>
      <c r="I64" s="11" t="str">
        <f t="shared" si="16"/>
        <v>189.56</v>
      </c>
      <c r="J64" s="11" t="str">
        <f t="shared" si="17"/>
        <v>188.89</v>
      </c>
      <c r="K64" s="11" t="str">
        <f t="shared" si="18"/>
        <v>188.18</v>
      </c>
    </row>
    <row r="65" ht="14.25" customHeight="1"/>
    <row r="66" ht="14.25" customHeight="1">
      <c r="B66" s="17" t="s">
        <v>45</v>
      </c>
      <c r="C66" s="18">
        <v>0.1</v>
      </c>
      <c r="D66" s="18">
        <v>0.2</v>
      </c>
      <c r="E66" s="18">
        <v>0.3</v>
      </c>
      <c r="F66" s="18">
        <v>0.4</v>
      </c>
      <c r="G66" s="18">
        <v>0.5</v>
      </c>
      <c r="H66" s="18">
        <v>0.6</v>
      </c>
      <c r="I66" s="18">
        <v>0.7</v>
      </c>
      <c r="J66" s="18">
        <v>0.8</v>
      </c>
      <c r="K66" s="18">
        <v>0.9</v>
      </c>
    </row>
    <row r="67" ht="14.25" customHeight="1">
      <c r="B67" s="17" t="s">
        <v>16</v>
      </c>
      <c r="C67" s="12" t="str">
        <f>SUMPRODUCT((B42:B64-C42:C64)^2)/COUNT(C42:C64)</f>
        <v>104.158</v>
      </c>
      <c r="D67" s="12" t="str">
        <f>SUMPRODUCT((B42:B64-D42:D64)^2)/COUNT(D42:D64)</f>
        <v>67.086</v>
      </c>
      <c r="E67" s="12" t="str">
        <f>SUMPRODUCT((B42:B64-E42:E64)^2)/COUNT(E42:E64)</f>
        <v>48.004</v>
      </c>
      <c r="F67" s="12" t="str">
        <f>SUMPRODUCT((B42:B64-F42:F64)^2)/COUNT(F42:F64)</f>
        <v>38.783</v>
      </c>
      <c r="G67" s="12" t="str">
        <f>SUMPRODUCT((B42:B64-G42:G64)^2)/COUNT(G42:G64)</f>
        <v>34.294</v>
      </c>
      <c r="H67" s="12" t="str">
        <f>SUMPRODUCT((B42:B64-H42:H64)^2)/COUNT(H42:H64)</f>
        <v>32.191</v>
      </c>
      <c r="I67" s="12" t="str">
        <f>SUMPRODUCT((B42:B64-I42:I64)^2)/COUNT(I42:I64)</f>
        <v>31.381</v>
      </c>
      <c r="J67" s="12" t="str">
        <f>SUMPRODUCT((B42:B64-J42:J64)^2)/COUNT(J42:J64)</f>
        <v>31.323</v>
      </c>
      <c r="K67" s="12" t="str">
        <f>SUMPRODUCT((B42:B64-K42:K64)^2)/COUNT(K42:K64)</f>
        <v>31.744</v>
      </c>
    </row>
    <row r="68" ht="14.25" customHeight="1">
      <c r="B68" s="17" t="s">
        <v>17</v>
      </c>
      <c r="C68" s="12" t="str">
        <f>SUMPRODUCT(ABS(B42:B64-C42:C64))/COUNT(C42:C64)</f>
        <v>8.620</v>
      </c>
      <c r="D68" s="12" t="str">
        <f>SUMPRODUCT(ABS(B42:B64-D42:D64))/COUNT(D42:D64)</f>
        <v>6.757</v>
      </c>
      <c r="E68" s="12" t="str">
        <f>SUMPRODUCT(ABS(B42:B64-E42:E64))/COUNT(E42:E64)</f>
        <v>5.762</v>
      </c>
      <c r="F68" s="12" t="str">
        <f>SUMPRODUCT(ABS(B42:B64-F42:F64))/COUNT(F42:F64)</f>
        <v>5.056</v>
      </c>
      <c r="G68" s="12" t="str">
        <f>SUMPRODUCT(ABS(B42:B64-G42:G64))/COUNT(G42:G64)</f>
        <v>4.713</v>
      </c>
      <c r="H68" s="12" t="str">
        <f>SUMPRODUCT(ABS(B42:B64-H42:H64))/COUNT(H42:H64)</f>
        <v>4.499</v>
      </c>
      <c r="I68" s="12" t="str">
        <f>SUMPRODUCT(ABS(B42:B64-I42:I64))/COUNT(I42:I64)</f>
        <v>4.501</v>
      </c>
      <c r="J68" s="12" t="str">
        <f>SUMPRODUCT(ABS(B42:B64-J42:J64))/COUNT(J42:J64)</f>
        <v>4.535</v>
      </c>
      <c r="K68" s="12" t="str">
        <f>SUMPRODUCT(ABS(B42:B64-K42:K64))/COUNT(K42:K64)</f>
        <v>4.599</v>
      </c>
    </row>
    <row r="69" ht="14.25" customHeight="1">
      <c r="B69" s="17" t="s">
        <v>18</v>
      </c>
      <c r="C69" s="13" t="str">
        <f>SUMPRODUCT(ABS(B42:B64-C42:C64)/B42:B64)/COUNT(C42:C64)*100</f>
        <v>4.78</v>
      </c>
      <c r="D69" s="13" t="str">
        <f>SUMPRODUCT(ABS(B42:B64-D42:D64)/B42:B64)/COUNT(D42:D64)*100</f>
        <v>3.77</v>
      </c>
      <c r="E69" s="13" t="str">
        <f>SUMPRODUCT(ABS(B42:B64-E42:E64)/B42:B64)/COUNT(E42:E64)*100</f>
        <v>3.23</v>
      </c>
      <c r="F69" s="13" t="str">
        <f>SUMPRODUCT(ABS(B42:B64-F42:F64)/B42:B64)/COUNT(F42:F64)*100</f>
        <v>2.85</v>
      </c>
      <c r="G69" s="13" t="str">
        <f>SUMPRODUCT(ABS(B42:B64-G42:G64)/B42:B64)/COUNT(G42:G64)*100</f>
        <v>2.66</v>
      </c>
      <c r="H69" s="13" t="str">
        <f>SUMPRODUCT(ABS(B42:B64-H42:H64)/B42:B64)/COUNT(H42:H64)*100</f>
        <v>2.55</v>
      </c>
      <c r="I69" s="13" t="str">
        <f>SUMPRODUCT(ABS(B42:B64-I42:I64)/B42:B64)/COUNT(I42:I64)*100</f>
        <v>2.55</v>
      </c>
      <c r="J69" s="13" t="str">
        <f>SUMPRODUCT(ABS(B42:B64-J42:J64)/B42:B64)/COUNT(J42:J64)*100</f>
        <v>2.57</v>
      </c>
      <c r="K69" s="13" t="str">
        <f>SUMPRODUCT(ABS(B42:B64-K42:K64)/B42:B64)/COUNT(K42:K64)*100</f>
        <v>2.61</v>
      </c>
    </row>
    <row r="70" ht="14.25" customHeight="1">
      <c r="A70" s="2" t="s">
        <v>46</v>
      </c>
      <c r="B70" s="18" t="str">
        <f t="array" ref="B70">INDEX(C66:K66,MATCH(MIN(C67:K67),C67:K67,0))</f>
        <v>0.8</v>
      </c>
    </row>
    <row r="71" ht="14.25" customHeight="1">
      <c r="A71" s="2" t="s">
        <v>20</v>
      </c>
      <c r="B71" s="15" t="str">
        <f>MIN(C67:K67)</f>
        <v>31.323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10.0"/>
    <col customWidth="1" min="3" max="29" width="9.0"/>
  </cols>
  <sheetData>
    <row r="1" ht="14.25" customHeight="1">
      <c r="A1" s="9" t="s">
        <v>47</v>
      </c>
    </row>
    <row r="2" ht="14.25" customHeight="1">
      <c r="A2" s="16"/>
    </row>
    <row r="3" ht="14.25" customHeight="1">
      <c r="A3" s="16"/>
    </row>
    <row r="4" ht="14.25" customHeight="1"/>
    <row r="5" ht="14.25" customHeight="1">
      <c r="A5" s="10" t="s">
        <v>8</v>
      </c>
    </row>
    <row r="6" ht="14.25" customHeight="1">
      <c r="A6" s="5" t="s">
        <v>2</v>
      </c>
      <c r="B6" s="5" t="s">
        <v>9</v>
      </c>
      <c r="C6" s="5" t="s">
        <v>48</v>
      </c>
      <c r="D6" s="5" t="s">
        <v>49</v>
      </c>
      <c r="E6" s="5" t="s">
        <v>36</v>
      </c>
      <c r="F6" s="5" t="s">
        <v>50</v>
      </c>
      <c r="G6" s="5" t="s">
        <v>51</v>
      </c>
      <c r="H6" s="5" t="s">
        <v>37</v>
      </c>
      <c r="I6" s="5" t="s">
        <v>52</v>
      </c>
      <c r="J6" s="5" t="s">
        <v>53</v>
      </c>
      <c r="K6" s="5" t="s">
        <v>38</v>
      </c>
      <c r="L6" s="5" t="s">
        <v>54</v>
      </c>
      <c r="M6" s="5" t="s">
        <v>55</v>
      </c>
      <c r="N6" s="5" t="s">
        <v>39</v>
      </c>
      <c r="O6" s="5" t="s">
        <v>56</v>
      </c>
      <c r="P6" s="5" t="s">
        <v>57</v>
      </c>
      <c r="Q6" s="5" t="s">
        <v>40</v>
      </c>
      <c r="R6" s="5" t="s">
        <v>58</v>
      </c>
      <c r="S6" s="5" t="s">
        <v>59</v>
      </c>
      <c r="T6" s="5" t="s">
        <v>41</v>
      </c>
      <c r="U6" s="5" t="s">
        <v>60</v>
      </c>
      <c r="V6" s="5" t="s">
        <v>61</v>
      </c>
      <c r="W6" s="5" t="s">
        <v>42</v>
      </c>
      <c r="X6" s="5" t="s">
        <v>62</v>
      </c>
      <c r="Y6" s="5" t="s">
        <v>63</v>
      </c>
      <c r="Z6" s="5" t="s">
        <v>43</v>
      </c>
      <c r="AA6" s="5" t="s">
        <v>64</v>
      </c>
      <c r="AB6" s="5" t="s">
        <v>65</v>
      </c>
      <c r="AC6" s="5" t="s">
        <v>44</v>
      </c>
    </row>
    <row r="7" ht="14.25" customHeight="1">
      <c r="A7" s="6">
        <v>1.0</v>
      </c>
      <c r="B7" s="11" t="str">
        <f>Data!C4</f>
        <v>107.00</v>
      </c>
      <c r="C7" s="11" t="str">
        <f>B7</f>
        <v>107.00</v>
      </c>
      <c r="D7" s="11" t="str">
        <f>B7</f>
        <v>107.00</v>
      </c>
      <c r="E7" s="11" t="str">
        <f t="shared" ref="E7:E30" si="2">2*C7-D7+(0.1/(1-0.1))*(C7-D7)</f>
        <v>107.00</v>
      </c>
      <c r="F7" s="11" t="str">
        <f>B7</f>
        <v>107.00</v>
      </c>
      <c r="G7" s="11" t="str">
        <f>B7</f>
        <v>107.00</v>
      </c>
      <c r="H7" s="11" t="str">
        <f t="shared" ref="H7:H30" si="3">2*F7-G7+(0.2/(1-0.2))*(F7-G7)</f>
        <v>107.00</v>
      </c>
      <c r="I7" s="11" t="str">
        <f>B7</f>
        <v>107.00</v>
      </c>
      <c r="J7" s="11" t="str">
        <f>B7</f>
        <v>107.00</v>
      </c>
      <c r="K7" s="11" t="str">
        <f t="shared" ref="K7:K30" si="4">2*I7-J7+(0.3/(1-0.3))*(I7-J7)</f>
        <v>107.00</v>
      </c>
      <c r="L7" s="11" t="str">
        <f>B7</f>
        <v>107.00</v>
      </c>
      <c r="M7" s="11" t="str">
        <f>B7</f>
        <v>107.00</v>
      </c>
      <c r="N7" s="11" t="str">
        <f t="shared" ref="N7:N30" si="5">2*L7-M7+(0.4/(1-0.4))*(L7-M7)</f>
        <v>107.00</v>
      </c>
      <c r="O7" s="11" t="str">
        <f>B7</f>
        <v>107.00</v>
      </c>
      <c r="P7" s="11" t="str">
        <f>B7</f>
        <v>107.00</v>
      </c>
      <c r="Q7" s="11" t="str">
        <f t="shared" ref="Q7:Q30" si="6">2*O7-P7+(0.5/(1-0.5))*(O7-P7)</f>
        <v>107.00</v>
      </c>
      <c r="R7" s="11" t="str">
        <f>B7</f>
        <v>107.00</v>
      </c>
      <c r="S7" s="11" t="str">
        <f>B7</f>
        <v>107.00</v>
      </c>
      <c r="T7" s="11" t="str">
        <f t="shared" ref="T7:T30" si="7">2*R7-S7+(0.6/(1-0.6))*(R7-S7)</f>
        <v>107.00</v>
      </c>
      <c r="U7" s="11" t="str">
        <f>B7</f>
        <v>107.00</v>
      </c>
      <c r="V7" s="11" t="str">
        <f>B7</f>
        <v>107.00</v>
      </c>
      <c r="W7" s="11" t="str">
        <f t="shared" ref="W7:W30" si="8">2*U7-V7+(0.7/(1-0.7))*(U7-V7)</f>
        <v>107.00</v>
      </c>
      <c r="X7" s="11" t="str">
        <f>B7</f>
        <v>107.00</v>
      </c>
      <c r="Y7" s="11" t="str">
        <f>B7</f>
        <v>107.00</v>
      </c>
      <c r="Z7" s="11" t="str">
        <f t="shared" ref="Z7:Z30" si="9">2*X7-Y7+(0.8/(1-0.8))*(X7-Y7)</f>
        <v>107.00</v>
      </c>
      <c r="AA7" s="11" t="str">
        <f>B7</f>
        <v>107.00</v>
      </c>
      <c r="AB7" s="11" t="str">
        <f>B7</f>
        <v>107.00</v>
      </c>
      <c r="AC7" s="11" t="str">
        <f t="shared" ref="AC7:AC30" si="10">2*AA7-AB7+(0.9/(1-0.9))*(AA7-AB7)</f>
        <v>107.00</v>
      </c>
    </row>
    <row r="8" ht="14.25" customHeight="1">
      <c r="A8" s="6">
        <v>2.0</v>
      </c>
      <c r="B8" s="11" t="str">
        <f>Data!C5</f>
        <v>82.00</v>
      </c>
      <c r="C8" s="11" t="str">
        <f t="shared" ref="C8:D8" si="1">0.1*B8+(1-0.1)*C7</f>
        <v>104.50</v>
      </c>
      <c r="D8" s="11" t="str">
        <f t="shared" si="1"/>
        <v>106.75</v>
      </c>
      <c r="E8" s="11" t="str">
        <f t="shared" si="2"/>
        <v>102.00</v>
      </c>
      <c r="F8" s="11" t="str">
        <f t="shared" ref="F8:F30" si="12">0.2*B8+(1-0.2)*F7</f>
        <v>102.00</v>
      </c>
      <c r="G8" s="11" t="str">
        <f t="shared" ref="G8:G30" si="13">0.2*F8+(1-0.2)*G7</f>
        <v>106.00</v>
      </c>
      <c r="H8" s="11" t="str">
        <f t="shared" si="3"/>
        <v>97.00</v>
      </c>
      <c r="I8" s="11" t="str">
        <f t="shared" ref="I8:I30" si="14">0.3*B8+(1-0.3)*I7</f>
        <v>99.50</v>
      </c>
      <c r="J8" s="11" t="str">
        <f t="shared" ref="J8:J30" si="15">0.3*I8+(1-0.3)*J7</f>
        <v>104.75</v>
      </c>
      <c r="K8" s="11" t="str">
        <f t="shared" si="4"/>
        <v>92.00</v>
      </c>
      <c r="L8" s="11" t="str">
        <f t="shared" ref="L8:L30" si="16">0.4*B8+(1-0.4)*L7</f>
        <v>97.00</v>
      </c>
      <c r="M8" s="11" t="str">
        <f t="shared" ref="M8:M30" si="17">0.4*L8+(1-0.4)*M7</f>
        <v>103.00</v>
      </c>
      <c r="N8" s="11" t="str">
        <f t="shared" si="5"/>
        <v>87.00</v>
      </c>
      <c r="O8" s="11" t="str">
        <f t="shared" ref="O8:O30" si="18">0.5*B8+(1-0.5)*O7</f>
        <v>94.50</v>
      </c>
      <c r="P8" s="11" t="str">
        <f t="shared" ref="P8:P30" si="19">0.5*O8+(1-0.5)*P7</f>
        <v>100.75</v>
      </c>
      <c r="Q8" s="11" t="str">
        <f t="shared" si="6"/>
        <v>82.00</v>
      </c>
      <c r="R8" s="11" t="str">
        <f t="shared" ref="R8:R30" si="20">0.6*B8+(1-0.6)*R7</f>
        <v>92.00</v>
      </c>
      <c r="S8" s="11" t="str">
        <f t="shared" ref="S8:S30" si="21">0.6*R8+(1-0.6)*S7</f>
        <v>98.00</v>
      </c>
      <c r="T8" s="11" t="str">
        <f t="shared" si="7"/>
        <v>77.00</v>
      </c>
      <c r="U8" s="11" t="str">
        <f t="shared" ref="U8:U30" si="22">0.7*B8+(1-0.7)*U7</f>
        <v>89.50</v>
      </c>
      <c r="V8" s="11" t="str">
        <f t="shared" ref="V8:V30" si="23">0.7*U8+(1-0.7)*V7</f>
        <v>94.75</v>
      </c>
      <c r="W8" s="11" t="str">
        <f t="shared" si="8"/>
        <v>72.00</v>
      </c>
      <c r="X8" s="11" t="str">
        <f t="shared" ref="X8:X30" si="24">0.8*B8+(1-0.8)*X7</f>
        <v>87.00</v>
      </c>
      <c r="Y8" s="11" t="str">
        <f t="shared" ref="Y8:Y30" si="25">0.8*X8+(1-0.8)*Y7</f>
        <v>91.00</v>
      </c>
      <c r="Z8" s="11" t="str">
        <f t="shared" si="9"/>
        <v>67.00</v>
      </c>
      <c r="AA8" s="11" t="str">
        <f t="shared" ref="AA8:AA30" si="26">0.9*B8+(1-0.9)*AA7</f>
        <v>84.50</v>
      </c>
      <c r="AB8" s="11" t="str">
        <f t="shared" ref="AB8:AB30" si="27">0.9*AA8+(1-0.9)*AB7</f>
        <v>86.75</v>
      </c>
      <c r="AC8" s="11" t="str">
        <f t="shared" si="10"/>
        <v>62.00</v>
      </c>
    </row>
    <row r="9" ht="14.25" customHeight="1">
      <c r="A9" s="6">
        <v>3.0</v>
      </c>
      <c r="B9" s="11" t="str">
        <f>Data!C6</f>
        <v>97.00</v>
      </c>
      <c r="C9" s="11" t="str">
        <f t="shared" ref="C9:D9" si="11">0.1*B9+(1-0.1)*C8</f>
        <v>103.75</v>
      </c>
      <c r="D9" s="11" t="str">
        <f t="shared" si="11"/>
        <v>106.45</v>
      </c>
      <c r="E9" s="11" t="str">
        <f t="shared" si="2"/>
        <v>100.75</v>
      </c>
      <c r="F9" s="11" t="str">
        <f t="shared" si="12"/>
        <v>101.00</v>
      </c>
      <c r="G9" s="11" t="str">
        <f t="shared" si="13"/>
        <v>105.00</v>
      </c>
      <c r="H9" s="11" t="str">
        <f t="shared" si="3"/>
        <v>96.00</v>
      </c>
      <c r="I9" s="11" t="str">
        <f t="shared" si="14"/>
        <v>98.75</v>
      </c>
      <c r="J9" s="11" t="str">
        <f t="shared" si="15"/>
        <v>102.95</v>
      </c>
      <c r="K9" s="11" t="str">
        <f t="shared" si="4"/>
        <v>92.75</v>
      </c>
      <c r="L9" s="11" t="str">
        <f t="shared" si="16"/>
        <v>97.00</v>
      </c>
      <c r="M9" s="11" t="str">
        <f t="shared" si="17"/>
        <v>100.60</v>
      </c>
      <c r="N9" s="11" t="str">
        <f t="shared" si="5"/>
        <v>91.00</v>
      </c>
      <c r="O9" s="11" t="str">
        <f t="shared" si="18"/>
        <v>95.75</v>
      </c>
      <c r="P9" s="11" t="str">
        <f t="shared" si="19"/>
        <v>98.25</v>
      </c>
      <c r="Q9" s="11" t="str">
        <f t="shared" si="6"/>
        <v>90.75</v>
      </c>
      <c r="R9" s="11" t="str">
        <f t="shared" si="20"/>
        <v>95.00</v>
      </c>
      <c r="S9" s="11" t="str">
        <f t="shared" si="21"/>
        <v>96.20</v>
      </c>
      <c r="T9" s="11" t="str">
        <f t="shared" si="7"/>
        <v>92.00</v>
      </c>
      <c r="U9" s="11" t="str">
        <f t="shared" si="22"/>
        <v>94.75</v>
      </c>
      <c r="V9" s="11" t="str">
        <f t="shared" si="23"/>
        <v>94.75</v>
      </c>
      <c r="W9" s="11" t="str">
        <f t="shared" si="8"/>
        <v>94.75</v>
      </c>
      <c r="X9" s="11" t="str">
        <f t="shared" si="24"/>
        <v>95.00</v>
      </c>
      <c r="Y9" s="11" t="str">
        <f t="shared" si="25"/>
        <v>94.20</v>
      </c>
      <c r="Z9" s="11" t="str">
        <f t="shared" si="9"/>
        <v>99.00</v>
      </c>
      <c r="AA9" s="11" t="str">
        <f t="shared" si="26"/>
        <v>95.75</v>
      </c>
      <c r="AB9" s="11" t="str">
        <f t="shared" si="27"/>
        <v>94.85</v>
      </c>
      <c r="AC9" s="11" t="str">
        <f t="shared" si="10"/>
        <v>104.75</v>
      </c>
    </row>
    <row r="10" ht="14.25" customHeight="1">
      <c r="A10" s="6">
        <v>4.0</v>
      </c>
      <c r="B10" s="11" t="str">
        <f>Data!C7</f>
        <v>92.00</v>
      </c>
      <c r="C10" s="11" t="str">
        <f t="shared" ref="C10:D10" si="28">0.1*B10+(1-0.1)*C9</f>
        <v>102.58</v>
      </c>
      <c r="D10" s="11" t="str">
        <f t="shared" si="28"/>
        <v>106.06</v>
      </c>
      <c r="E10" s="11" t="str">
        <f t="shared" si="2"/>
        <v>98.70</v>
      </c>
      <c r="F10" s="11" t="str">
        <f t="shared" si="12"/>
        <v>99.20</v>
      </c>
      <c r="G10" s="11" t="str">
        <f t="shared" si="13"/>
        <v>103.84</v>
      </c>
      <c r="H10" s="11" t="str">
        <f t="shared" si="3"/>
        <v>93.40</v>
      </c>
      <c r="I10" s="11" t="str">
        <f t="shared" si="14"/>
        <v>96.73</v>
      </c>
      <c r="J10" s="11" t="str">
        <f t="shared" si="15"/>
        <v>101.08</v>
      </c>
      <c r="K10" s="11" t="str">
        <f t="shared" si="4"/>
        <v>90.50</v>
      </c>
      <c r="L10" s="11" t="str">
        <f t="shared" si="16"/>
        <v>95.00</v>
      </c>
      <c r="M10" s="11" t="str">
        <f t="shared" si="17"/>
        <v>98.36</v>
      </c>
      <c r="N10" s="11" t="str">
        <f t="shared" si="5"/>
        <v>89.40</v>
      </c>
      <c r="O10" s="11" t="str">
        <f t="shared" si="18"/>
        <v>93.88</v>
      </c>
      <c r="P10" s="11" t="str">
        <f t="shared" si="19"/>
        <v>96.06</v>
      </c>
      <c r="Q10" s="11" t="str">
        <f t="shared" si="6"/>
        <v>89.50</v>
      </c>
      <c r="R10" s="11" t="str">
        <f t="shared" si="20"/>
        <v>93.20</v>
      </c>
      <c r="S10" s="11" t="str">
        <f t="shared" si="21"/>
        <v>94.40</v>
      </c>
      <c r="T10" s="11" t="str">
        <f t="shared" si="7"/>
        <v>90.20</v>
      </c>
      <c r="U10" s="11" t="str">
        <f t="shared" si="22"/>
        <v>92.83</v>
      </c>
      <c r="V10" s="11" t="str">
        <f t="shared" si="23"/>
        <v>93.40</v>
      </c>
      <c r="W10" s="11" t="str">
        <f t="shared" si="8"/>
        <v>90.90</v>
      </c>
      <c r="X10" s="11" t="str">
        <f t="shared" si="24"/>
        <v>92.60</v>
      </c>
      <c r="Y10" s="11" t="str">
        <f t="shared" si="25"/>
        <v>92.92</v>
      </c>
      <c r="Z10" s="11" t="str">
        <f t="shared" si="9"/>
        <v>91.00</v>
      </c>
      <c r="AA10" s="11" t="str">
        <f t="shared" si="26"/>
        <v>92.38</v>
      </c>
      <c r="AB10" s="11" t="str">
        <f t="shared" si="27"/>
        <v>92.62</v>
      </c>
      <c r="AC10" s="11" t="str">
        <f t="shared" si="10"/>
        <v>89.90</v>
      </c>
    </row>
    <row r="11" ht="14.25" customHeight="1">
      <c r="A11" s="6">
        <v>5.0</v>
      </c>
      <c r="B11" s="11" t="str">
        <f>Data!C8</f>
        <v>102.00</v>
      </c>
      <c r="C11" s="11" t="str">
        <f t="shared" ref="C11:D11" si="29">0.1*B11+(1-0.1)*C10</f>
        <v>102.52</v>
      </c>
      <c r="D11" s="11" t="str">
        <f t="shared" si="29"/>
        <v>105.71</v>
      </c>
      <c r="E11" s="11" t="str">
        <f t="shared" si="2"/>
        <v>98.97</v>
      </c>
      <c r="F11" s="11" t="str">
        <f t="shared" si="12"/>
        <v>99.76</v>
      </c>
      <c r="G11" s="11" t="str">
        <f t="shared" si="13"/>
        <v>103.02</v>
      </c>
      <c r="H11" s="11" t="str">
        <f t="shared" si="3"/>
        <v>95.68</v>
      </c>
      <c r="I11" s="11" t="str">
        <f t="shared" si="14"/>
        <v>98.31</v>
      </c>
      <c r="J11" s="11" t="str">
        <f t="shared" si="15"/>
        <v>100.25</v>
      </c>
      <c r="K11" s="11" t="str">
        <f t="shared" si="4"/>
        <v>95.53</v>
      </c>
      <c r="L11" s="11" t="str">
        <f t="shared" si="16"/>
        <v>97.80</v>
      </c>
      <c r="M11" s="11" t="str">
        <f t="shared" si="17"/>
        <v>98.14</v>
      </c>
      <c r="N11" s="11" t="str">
        <f t="shared" si="5"/>
        <v>97.24</v>
      </c>
      <c r="O11" s="11" t="str">
        <f t="shared" si="18"/>
        <v>97.94</v>
      </c>
      <c r="P11" s="11" t="str">
        <f t="shared" si="19"/>
        <v>97.00</v>
      </c>
      <c r="Q11" s="11" t="str">
        <f t="shared" si="6"/>
        <v>99.81</v>
      </c>
      <c r="R11" s="11" t="str">
        <f t="shared" si="20"/>
        <v>98.48</v>
      </c>
      <c r="S11" s="11" t="str">
        <f t="shared" si="21"/>
        <v>96.85</v>
      </c>
      <c r="T11" s="11" t="str">
        <f t="shared" si="7"/>
        <v>102.56</v>
      </c>
      <c r="U11" s="11" t="str">
        <f t="shared" si="22"/>
        <v>99.25</v>
      </c>
      <c r="V11" s="11" t="str">
        <f t="shared" si="23"/>
        <v>97.49</v>
      </c>
      <c r="W11" s="11" t="str">
        <f t="shared" si="8"/>
        <v>105.09</v>
      </c>
      <c r="X11" s="11" t="str">
        <f t="shared" si="24"/>
        <v>100.12</v>
      </c>
      <c r="Y11" s="11" t="str">
        <f t="shared" si="25"/>
        <v>98.68</v>
      </c>
      <c r="Z11" s="11" t="str">
        <f t="shared" si="9"/>
        <v>107.32</v>
      </c>
      <c r="AA11" s="11" t="str">
        <f t="shared" si="26"/>
        <v>101.04</v>
      </c>
      <c r="AB11" s="11" t="str">
        <f t="shared" si="27"/>
        <v>100.20</v>
      </c>
      <c r="AC11" s="11" t="str">
        <f t="shared" si="10"/>
        <v>109.45</v>
      </c>
    </row>
    <row r="12" ht="14.25" customHeight="1">
      <c r="A12" s="6">
        <v>6.0</v>
      </c>
      <c r="B12" s="11" t="str">
        <f>Data!C9</f>
        <v>92.00</v>
      </c>
      <c r="C12" s="11" t="str">
        <f t="shared" ref="C12:D12" si="30">0.1*B12+(1-0.1)*C11</f>
        <v>101.47</v>
      </c>
      <c r="D12" s="11" t="str">
        <f t="shared" si="30"/>
        <v>105.28</v>
      </c>
      <c r="E12" s="11" t="str">
        <f t="shared" si="2"/>
        <v>97.22</v>
      </c>
      <c r="F12" s="11" t="str">
        <f t="shared" si="12"/>
        <v>98.21</v>
      </c>
      <c r="G12" s="11" t="str">
        <f t="shared" si="13"/>
        <v>102.06</v>
      </c>
      <c r="H12" s="11" t="str">
        <f t="shared" si="3"/>
        <v>93.39</v>
      </c>
      <c r="I12" s="11" t="str">
        <f t="shared" si="14"/>
        <v>96.42</v>
      </c>
      <c r="J12" s="11" t="str">
        <f t="shared" si="15"/>
        <v>99.10</v>
      </c>
      <c r="K12" s="11" t="str">
        <f t="shared" si="4"/>
        <v>92.58</v>
      </c>
      <c r="L12" s="11" t="str">
        <f t="shared" si="16"/>
        <v>95.48</v>
      </c>
      <c r="M12" s="11" t="str">
        <f t="shared" si="17"/>
        <v>97.07</v>
      </c>
      <c r="N12" s="11" t="str">
        <f t="shared" si="5"/>
        <v>92.82</v>
      </c>
      <c r="O12" s="11" t="str">
        <f t="shared" si="18"/>
        <v>94.97</v>
      </c>
      <c r="P12" s="11" t="str">
        <f t="shared" si="19"/>
        <v>95.98</v>
      </c>
      <c r="Q12" s="11" t="str">
        <f t="shared" si="6"/>
        <v>92.94</v>
      </c>
      <c r="R12" s="11" t="str">
        <f t="shared" si="20"/>
        <v>94.59</v>
      </c>
      <c r="S12" s="11" t="str">
        <f t="shared" si="21"/>
        <v>95.49</v>
      </c>
      <c r="T12" s="11" t="str">
        <f t="shared" si="7"/>
        <v>92.34</v>
      </c>
      <c r="U12" s="11" t="str">
        <f t="shared" si="22"/>
        <v>94.17</v>
      </c>
      <c r="V12" s="11" t="str">
        <f t="shared" si="23"/>
        <v>95.17</v>
      </c>
      <c r="W12" s="11" t="str">
        <f t="shared" si="8"/>
        <v>90.85</v>
      </c>
      <c r="X12" s="11" t="str">
        <f t="shared" si="24"/>
        <v>93.62</v>
      </c>
      <c r="Y12" s="11" t="str">
        <f t="shared" si="25"/>
        <v>94.64</v>
      </c>
      <c r="Z12" s="11" t="str">
        <f t="shared" si="9"/>
        <v>88.57</v>
      </c>
      <c r="AA12" s="11" t="str">
        <f t="shared" si="26"/>
        <v>92.90</v>
      </c>
      <c r="AB12" s="11" t="str">
        <f t="shared" si="27"/>
        <v>93.63</v>
      </c>
      <c r="AC12" s="11" t="str">
        <f t="shared" si="10"/>
        <v>85.61</v>
      </c>
    </row>
    <row r="13" ht="14.25" customHeight="1">
      <c r="A13" s="6">
        <v>7.0</v>
      </c>
      <c r="B13" s="11" t="str">
        <f>Data!C10</f>
        <v>87.00</v>
      </c>
      <c r="C13" s="11" t="str">
        <f t="shared" ref="C13:D13" si="31">0.1*B13+(1-0.1)*C12</f>
        <v>100.02</v>
      </c>
      <c r="D13" s="11" t="str">
        <f t="shared" si="31"/>
        <v>104.76</v>
      </c>
      <c r="E13" s="11" t="str">
        <f t="shared" si="2"/>
        <v>94.75</v>
      </c>
      <c r="F13" s="11" t="str">
        <f t="shared" si="12"/>
        <v>95.97</v>
      </c>
      <c r="G13" s="11" t="str">
        <f t="shared" si="13"/>
        <v>100.84</v>
      </c>
      <c r="H13" s="11" t="str">
        <f t="shared" si="3"/>
        <v>89.87</v>
      </c>
      <c r="I13" s="11" t="str">
        <f t="shared" si="14"/>
        <v>93.59</v>
      </c>
      <c r="J13" s="11" t="str">
        <f t="shared" si="15"/>
        <v>97.45</v>
      </c>
      <c r="K13" s="11" t="str">
        <f t="shared" si="4"/>
        <v>88.08</v>
      </c>
      <c r="L13" s="11" t="str">
        <f t="shared" si="16"/>
        <v>92.09</v>
      </c>
      <c r="M13" s="11" t="str">
        <f t="shared" si="17"/>
        <v>95.08</v>
      </c>
      <c r="N13" s="11" t="str">
        <f t="shared" si="5"/>
        <v>87.10</v>
      </c>
      <c r="O13" s="11" t="str">
        <f t="shared" si="18"/>
        <v>90.98</v>
      </c>
      <c r="P13" s="11" t="str">
        <f t="shared" si="19"/>
        <v>93.48</v>
      </c>
      <c r="Q13" s="11" t="str">
        <f t="shared" si="6"/>
        <v>85.98</v>
      </c>
      <c r="R13" s="11" t="str">
        <f t="shared" si="20"/>
        <v>90.04</v>
      </c>
      <c r="S13" s="11" t="str">
        <f t="shared" si="21"/>
        <v>92.22</v>
      </c>
      <c r="T13" s="11" t="str">
        <f t="shared" si="7"/>
        <v>84.58</v>
      </c>
      <c r="U13" s="11" t="str">
        <f t="shared" si="22"/>
        <v>89.15</v>
      </c>
      <c r="V13" s="11" t="str">
        <f t="shared" si="23"/>
        <v>90.96</v>
      </c>
      <c r="W13" s="11" t="str">
        <f t="shared" si="8"/>
        <v>83.13</v>
      </c>
      <c r="X13" s="11" t="str">
        <f t="shared" si="24"/>
        <v>88.32</v>
      </c>
      <c r="Y13" s="11" t="str">
        <f t="shared" si="25"/>
        <v>89.59</v>
      </c>
      <c r="Z13" s="11" t="str">
        <f t="shared" si="9"/>
        <v>82.01</v>
      </c>
      <c r="AA13" s="11" t="str">
        <f t="shared" si="26"/>
        <v>87.59</v>
      </c>
      <c r="AB13" s="11" t="str">
        <f t="shared" si="27"/>
        <v>88.19</v>
      </c>
      <c r="AC13" s="11" t="str">
        <f t="shared" si="10"/>
        <v>81.55</v>
      </c>
    </row>
    <row r="14" ht="14.25" customHeight="1">
      <c r="A14" s="6">
        <v>8.0</v>
      </c>
      <c r="B14" s="11" t="str">
        <f>Data!C11</f>
        <v>87.00</v>
      </c>
      <c r="C14" s="11" t="str">
        <f t="shared" ref="C14:D14" si="32">0.1*B14+(1-0.1)*C13</f>
        <v>98.72</v>
      </c>
      <c r="D14" s="11" t="str">
        <f t="shared" si="32"/>
        <v>104.15</v>
      </c>
      <c r="E14" s="11" t="str">
        <f t="shared" si="2"/>
        <v>92.68</v>
      </c>
      <c r="F14" s="11" t="str">
        <f t="shared" si="12"/>
        <v>94.17</v>
      </c>
      <c r="G14" s="11" t="str">
        <f t="shared" si="13"/>
        <v>99.51</v>
      </c>
      <c r="H14" s="11" t="str">
        <f t="shared" si="3"/>
        <v>87.50</v>
      </c>
      <c r="I14" s="11" t="str">
        <f t="shared" si="14"/>
        <v>91.61</v>
      </c>
      <c r="J14" s="11" t="str">
        <f t="shared" si="15"/>
        <v>95.70</v>
      </c>
      <c r="K14" s="11" t="str">
        <f t="shared" si="4"/>
        <v>85.78</v>
      </c>
      <c r="L14" s="11" t="str">
        <f t="shared" si="16"/>
        <v>90.05</v>
      </c>
      <c r="M14" s="11" t="str">
        <f t="shared" si="17"/>
        <v>93.07</v>
      </c>
      <c r="N14" s="11" t="str">
        <f t="shared" si="5"/>
        <v>85.03</v>
      </c>
      <c r="O14" s="11" t="str">
        <f t="shared" si="18"/>
        <v>88.99</v>
      </c>
      <c r="P14" s="11" t="str">
        <f t="shared" si="19"/>
        <v>91.24</v>
      </c>
      <c r="Q14" s="11" t="str">
        <f t="shared" si="6"/>
        <v>84.50</v>
      </c>
      <c r="R14" s="11" t="str">
        <f t="shared" si="20"/>
        <v>88.21</v>
      </c>
      <c r="S14" s="11" t="str">
        <f t="shared" si="21"/>
        <v>89.82</v>
      </c>
      <c r="T14" s="11" t="str">
        <f t="shared" si="7"/>
        <v>84.21</v>
      </c>
      <c r="U14" s="11" t="str">
        <f t="shared" si="22"/>
        <v>87.65</v>
      </c>
      <c r="V14" s="11" t="str">
        <f t="shared" si="23"/>
        <v>88.64</v>
      </c>
      <c r="W14" s="11" t="str">
        <f t="shared" si="8"/>
        <v>84.33</v>
      </c>
      <c r="X14" s="11" t="str">
        <f t="shared" si="24"/>
        <v>87.26</v>
      </c>
      <c r="Y14" s="11" t="str">
        <f t="shared" si="25"/>
        <v>87.73</v>
      </c>
      <c r="Z14" s="11" t="str">
        <f t="shared" si="9"/>
        <v>84.94</v>
      </c>
      <c r="AA14" s="11" t="str">
        <f t="shared" si="26"/>
        <v>87.06</v>
      </c>
      <c r="AB14" s="11" t="str">
        <f t="shared" si="27"/>
        <v>87.17</v>
      </c>
      <c r="AC14" s="11" t="str">
        <f t="shared" si="10"/>
        <v>85.92</v>
      </c>
    </row>
    <row r="15" ht="14.25" customHeight="1">
      <c r="A15" s="6">
        <v>9.0</v>
      </c>
      <c r="B15" s="11" t="str">
        <f>Data!C12</f>
        <v>97.00</v>
      </c>
      <c r="C15" s="11" t="str">
        <f t="shared" ref="C15:D15" si="33">0.1*B15+(1-0.1)*C14</f>
        <v>98.55</v>
      </c>
      <c r="D15" s="11" t="str">
        <f t="shared" si="33"/>
        <v>103.59</v>
      </c>
      <c r="E15" s="11" t="str">
        <f t="shared" si="2"/>
        <v>92.94</v>
      </c>
      <c r="F15" s="11" t="str">
        <f t="shared" si="12"/>
        <v>94.74</v>
      </c>
      <c r="G15" s="11" t="str">
        <f t="shared" si="13"/>
        <v>98.55</v>
      </c>
      <c r="H15" s="11" t="str">
        <f t="shared" si="3"/>
        <v>89.97</v>
      </c>
      <c r="I15" s="11" t="str">
        <f t="shared" si="14"/>
        <v>93.23</v>
      </c>
      <c r="J15" s="11" t="str">
        <f t="shared" si="15"/>
        <v>94.96</v>
      </c>
      <c r="K15" s="11" t="str">
        <f t="shared" si="4"/>
        <v>90.76</v>
      </c>
      <c r="L15" s="11" t="str">
        <f t="shared" si="16"/>
        <v>92.83</v>
      </c>
      <c r="M15" s="11" t="str">
        <f t="shared" si="17"/>
        <v>92.97</v>
      </c>
      <c r="N15" s="11" t="str">
        <f t="shared" si="5"/>
        <v>92.59</v>
      </c>
      <c r="O15" s="11" t="str">
        <f t="shared" si="18"/>
        <v>93.00</v>
      </c>
      <c r="P15" s="11" t="str">
        <f t="shared" si="19"/>
        <v>92.12</v>
      </c>
      <c r="Q15" s="11" t="str">
        <f t="shared" si="6"/>
        <v>94.75</v>
      </c>
      <c r="R15" s="11" t="str">
        <f t="shared" si="20"/>
        <v>93.49</v>
      </c>
      <c r="S15" s="11" t="str">
        <f t="shared" si="21"/>
        <v>92.02</v>
      </c>
      <c r="T15" s="11" t="str">
        <f t="shared" si="7"/>
        <v>97.16</v>
      </c>
      <c r="U15" s="11" t="str">
        <f t="shared" si="22"/>
        <v>94.19</v>
      </c>
      <c r="V15" s="11" t="str">
        <f t="shared" si="23"/>
        <v>92.53</v>
      </c>
      <c r="W15" s="11" t="str">
        <f t="shared" si="8"/>
        <v>99.75</v>
      </c>
      <c r="X15" s="11" t="str">
        <f t="shared" si="24"/>
        <v>95.05</v>
      </c>
      <c r="Y15" s="11" t="str">
        <f t="shared" si="25"/>
        <v>93.59</v>
      </c>
      <c r="Z15" s="11" t="str">
        <f t="shared" si="9"/>
        <v>102.38</v>
      </c>
      <c r="AA15" s="11" t="str">
        <f t="shared" si="26"/>
        <v>96.01</v>
      </c>
      <c r="AB15" s="11" t="str">
        <f t="shared" si="27"/>
        <v>95.12</v>
      </c>
      <c r="AC15" s="11" t="str">
        <f t="shared" si="10"/>
        <v>104.84</v>
      </c>
    </row>
    <row r="16" ht="14.25" customHeight="1">
      <c r="A16" s="6">
        <v>10.0</v>
      </c>
      <c r="B16" s="11" t="str">
        <f>Data!C13</f>
        <v>97.00</v>
      </c>
      <c r="C16" s="11" t="str">
        <f t="shared" ref="C16:D16" si="34">0.1*B16+(1-0.1)*C15</f>
        <v>98.39</v>
      </c>
      <c r="D16" s="11" t="str">
        <f t="shared" si="34"/>
        <v>103.07</v>
      </c>
      <c r="E16" s="11" t="str">
        <f t="shared" si="2"/>
        <v>93.19</v>
      </c>
      <c r="F16" s="11" t="str">
        <f t="shared" si="12"/>
        <v>95.19</v>
      </c>
      <c r="G16" s="11" t="str">
        <f t="shared" si="13"/>
        <v>97.88</v>
      </c>
      <c r="H16" s="11" t="str">
        <f t="shared" si="3"/>
        <v>91.83</v>
      </c>
      <c r="I16" s="11" t="str">
        <f t="shared" si="14"/>
        <v>94.36</v>
      </c>
      <c r="J16" s="11" t="str">
        <f t="shared" si="15"/>
        <v>94.78</v>
      </c>
      <c r="K16" s="11" t="str">
        <f t="shared" si="4"/>
        <v>93.76</v>
      </c>
      <c r="L16" s="11" t="str">
        <f t="shared" si="16"/>
        <v>94.50</v>
      </c>
      <c r="M16" s="11" t="str">
        <f t="shared" si="17"/>
        <v>93.58</v>
      </c>
      <c r="N16" s="11" t="str">
        <f t="shared" si="5"/>
        <v>96.02</v>
      </c>
      <c r="O16" s="11" t="str">
        <f t="shared" si="18"/>
        <v>95.00</v>
      </c>
      <c r="P16" s="11" t="str">
        <f t="shared" si="19"/>
        <v>93.56</v>
      </c>
      <c r="Q16" s="11" t="str">
        <f t="shared" si="6"/>
        <v>97.88</v>
      </c>
      <c r="R16" s="11" t="str">
        <f t="shared" si="20"/>
        <v>95.59</v>
      </c>
      <c r="S16" s="11" t="str">
        <f t="shared" si="21"/>
        <v>94.16</v>
      </c>
      <c r="T16" s="11" t="str">
        <f t="shared" si="7"/>
        <v>99.17</v>
      </c>
      <c r="U16" s="11" t="str">
        <f t="shared" si="22"/>
        <v>96.16</v>
      </c>
      <c r="V16" s="11" t="str">
        <f t="shared" si="23"/>
        <v>95.07</v>
      </c>
      <c r="W16" s="11" t="str">
        <f t="shared" si="8"/>
        <v>99.79</v>
      </c>
      <c r="X16" s="11" t="str">
        <f t="shared" si="24"/>
        <v>96.61</v>
      </c>
      <c r="Y16" s="11" t="str">
        <f t="shared" si="25"/>
        <v>96.01</v>
      </c>
      <c r="Z16" s="11" t="str">
        <f t="shared" si="9"/>
        <v>99.63</v>
      </c>
      <c r="AA16" s="11" t="str">
        <f t="shared" si="26"/>
        <v>96.90</v>
      </c>
      <c r="AB16" s="11" t="str">
        <f t="shared" si="27"/>
        <v>96.72</v>
      </c>
      <c r="AC16" s="11" t="str">
        <f t="shared" si="10"/>
        <v>98.68</v>
      </c>
    </row>
    <row r="17" ht="14.25" customHeight="1">
      <c r="A17" s="6">
        <v>11.0</v>
      </c>
      <c r="B17" s="11" t="str">
        <f>Data!C14</f>
        <v>87.00</v>
      </c>
      <c r="C17" s="11" t="str">
        <f t="shared" ref="C17:D17" si="35">0.1*B17+(1-0.1)*C16</f>
        <v>97.25</v>
      </c>
      <c r="D17" s="11" t="str">
        <f t="shared" si="35"/>
        <v>102.49</v>
      </c>
      <c r="E17" s="11" t="str">
        <f t="shared" si="2"/>
        <v>91.43</v>
      </c>
      <c r="F17" s="11" t="str">
        <f t="shared" si="12"/>
        <v>93.55</v>
      </c>
      <c r="G17" s="11" t="str">
        <f t="shared" si="13"/>
        <v>97.02</v>
      </c>
      <c r="H17" s="11" t="str">
        <f t="shared" si="3"/>
        <v>89.22</v>
      </c>
      <c r="I17" s="11" t="str">
        <f t="shared" si="14"/>
        <v>92.15</v>
      </c>
      <c r="J17" s="11" t="str">
        <f t="shared" si="15"/>
        <v>93.99</v>
      </c>
      <c r="K17" s="11" t="str">
        <f t="shared" si="4"/>
        <v>89.53</v>
      </c>
      <c r="L17" s="11" t="str">
        <f t="shared" si="16"/>
        <v>91.50</v>
      </c>
      <c r="M17" s="11" t="str">
        <f t="shared" si="17"/>
        <v>92.75</v>
      </c>
      <c r="N17" s="11" t="str">
        <f t="shared" si="5"/>
        <v>89.41</v>
      </c>
      <c r="O17" s="11" t="str">
        <f t="shared" si="18"/>
        <v>91.00</v>
      </c>
      <c r="P17" s="11" t="str">
        <f t="shared" si="19"/>
        <v>92.28</v>
      </c>
      <c r="Q17" s="11" t="str">
        <f t="shared" si="6"/>
        <v>88.44</v>
      </c>
      <c r="R17" s="11" t="str">
        <f t="shared" si="20"/>
        <v>90.44</v>
      </c>
      <c r="S17" s="11" t="str">
        <f t="shared" si="21"/>
        <v>91.93</v>
      </c>
      <c r="T17" s="11" t="str">
        <f t="shared" si="7"/>
        <v>86.71</v>
      </c>
      <c r="U17" s="11" t="str">
        <f t="shared" si="22"/>
        <v>89.75</v>
      </c>
      <c r="V17" s="11" t="str">
        <f t="shared" si="23"/>
        <v>91.34</v>
      </c>
      <c r="W17" s="11" t="str">
        <f t="shared" si="8"/>
        <v>84.43</v>
      </c>
      <c r="X17" s="11" t="str">
        <f t="shared" si="24"/>
        <v>88.92</v>
      </c>
      <c r="Y17" s="11" t="str">
        <f t="shared" si="25"/>
        <v>90.34</v>
      </c>
      <c r="Z17" s="11" t="str">
        <f t="shared" si="9"/>
        <v>81.84</v>
      </c>
      <c r="AA17" s="11" t="str">
        <f t="shared" si="26"/>
        <v>87.99</v>
      </c>
      <c r="AB17" s="11" t="str">
        <f t="shared" si="27"/>
        <v>88.86</v>
      </c>
      <c r="AC17" s="11" t="str">
        <f t="shared" si="10"/>
        <v>79.26</v>
      </c>
    </row>
    <row r="18" ht="14.25" customHeight="1">
      <c r="A18" s="6">
        <v>12.0</v>
      </c>
      <c r="B18" s="11" t="str">
        <f>Data!C15</f>
        <v>102.00</v>
      </c>
      <c r="C18" s="11" t="str">
        <f t="shared" ref="C18:D18" si="36">0.1*B18+(1-0.1)*C17</f>
        <v>97.73</v>
      </c>
      <c r="D18" s="11" t="str">
        <f t="shared" si="36"/>
        <v>102.01</v>
      </c>
      <c r="E18" s="11" t="str">
        <f t="shared" si="2"/>
        <v>92.96</v>
      </c>
      <c r="F18" s="11" t="str">
        <f t="shared" si="12"/>
        <v>95.24</v>
      </c>
      <c r="G18" s="11" t="str">
        <f t="shared" si="13"/>
        <v>96.66</v>
      </c>
      <c r="H18" s="11" t="str">
        <f t="shared" si="3"/>
        <v>93.47</v>
      </c>
      <c r="I18" s="11" t="str">
        <f t="shared" si="14"/>
        <v>95.11</v>
      </c>
      <c r="J18" s="11" t="str">
        <f t="shared" si="15"/>
        <v>94.33</v>
      </c>
      <c r="K18" s="11" t="str">
        <f t="shared" si="4"/>
        <v>96.22</v>
      </c>
      <c r="L18" s="11" t="str">
        <f t="shared" si="16"/>
        <v>95.70</v>
      </c>
      <c r="M18" s="11" t="str">
        <f t="shared" si="17"/>
        <v>93.93</v>
      </c>
      <c r="N18" s="11" t="str">
        <f t="shared" si="5"/>
        <v>98.65</v>
      </c>
      <c r="O18" s="11" t="str">
        <f t="shared" si="18"/>
        <v>96.50</v>
      </c>
      <c r="P18" s="11" t="str">
        <f t="shared" si="19"/>
        <v>94.39</v>
      </c>
      <c r="Q18" s="11" t="str">
        <f t="shared" si="6"/>
        <v>100.72</v>
      </c>
      <c r="R18" s="11" t="str">
        <f t="shared" si="20"/>
        <v>97.38</v>
      </c>
      <c r="S18" s="11" t="str">
        <f t="shared" si="21"/>
        <v>95.20</v>
      </c>
      <c r="T18" s="11" t="str">
        <f t="shared" si="7"/>
        <v>102.82</v>
      </c>
      <c r="U18" s="11" t="str">
        <f t="shared" si="22"/>
        <v>98.32</v>
      </c>
      <c r="V18" s="11" t="str">
        <f t="shared" si="23"/>
        <v>96.23</v>
      </c>
      <c r="W18" s="11" t="str">
        <f t="shared" si="8"/>
        <v>105.30</v>
      </c>
      <c r="X18" s="11" t="str">
        <f t="shared" si="24"/>
        <v>99.38</v>
      </c>
      <c r="Y18" s="11" t="str">
        <f t="shared" si="25"/>
        <v>97.58</v>
      </c>
      <c r="Z18" s="11" t="str">
        <f t="shared" si="9"/>
        <v>108.43</v>
      </c>
      <c r="AA18" s="11" t="str">
        <f t="shared" si="26"/>
        <v>100.60</v>
      </c>
      <c r="AB18" s="11" t="str">
        <f t="shared" si="27"/>
        <v>99.43</v>
      </c>
      <c r="AC18" s="11" t="str">
        <f t="shared" si="10"/>
        <v>112.33</v>
      </c>
    </row>
    <row r="19" ht="14.25" customHeight="1">
      <c r="A19" s="6">
        <v>13.0</v>
      </c>
      <c r="B19" s="11" t="str">
        <f>Data!C16</f>
        <v>97.00</v>
      </c>
      <c r="C19" s="11" t="str">
        <f t="shared" ref="C19:D19" si="37">0.1*B19+(1-0.1)*C18</f>
        <v>97.65</v>
      </c>
      <c r="D19" s="11" t="str">
        <f t="shared" si="37"/>
        <v>101.58</v>
      </c>
      <c r="E19" s="11" t="str">
        <f t="shared" si="2"/>
        <v>93.29</v>
      </c>
      <c r="F19" s="11" t="str">
        <f t="shared" si="12"/>
        <v>95.59</v>
      </c>
      <c r="G19" s="11" t="str">
        <f t="shared" si="13"/>
        <v>96.45</v>
      </c>
      <c r="H19" s="11" t="str">
        <f t="shared" si="3"/>
        <v>94.53</v>
      </c>
      <c r="I19" s="11" t="str">
        <f t="shared" si="14"/>
        <v>95.67</v>
      </c>
      <c r="J19" s="11" t="str">
        <f t="shared" si="15"/>
        <v>94.73</v>
      </c>
      <c r="K19" s="11" t="str">
        <f t="shared" si="4"/>
        <v>97.02</v>
      </c>
      <c r="L19" s="11" t="str">
        <f t="shared" si="16"/>
        <v>96.22</v>
      </c>
      <c r="M19" s="11" t="str">
        <f t="shared" si="17"/>
        <v>94.85</v>
      </c>
      <c r="N19" s="11" t="str">
        <f t="shared" si="5"/>
        <v>98.51</v>
      </c>
      <c r="O19" s="11" t="str">
        <f t="shared" si="18"/>
        <v>96.75</v>
      </c>
      <c r="P19" s="11" t="str">
        <f t="shared" si="19"/>
        <v>95.57</v>
      </c>
      <c r="Q19" s="11" t="str">
        <f t="shared" si="6"/>
        <v>99.11</v>
      </c>
      <c r="R19" s="11" t="str">
        <f t="shared" si="20"/>
        <v>97.15</v>
      </c>
      <c r="S19" s="11" t="str">
        <f t="shared" si="21"/>
        <v>96.37</v>
      </c>
      <c r="T19" s="11" t="str">
        <f t="shared" si="7"/>
        <v>99.10</v>
      </c>
      <c r="U19" s="11" t="str">
        <f t="shared" si="22"/>
        <v>97.40</v>
      </c>
      <c r="V19" s="11" t="str">
        <f t="shared" si="23"/>
        <v>97.05</v>
      </c>
      <c r="W19" s="11" t="str">
        <f t="shared" si="8"/>
        <v>98.56</v>
      </c>
      <c r="X19" s="11" t="str">
        <f t="shared" si="24"/>
        <v>97.48</v>
      </c>
      <c r="Y19" s="11" t="str">
        <f t="shared" si="25"/>
        <v>97.50</v>
      </c>
      <c r="Z19" s="11" t="str">
        <f t="shared" si="9"/>
        <v>97.38</v>
      </c>
      <c r="AA19" s="11" t="str">
        <f t="shared" si="26"/>
        <v>97.36</v>
      </c>
      <c r="AB19" s="11" t="str">
        <f t="shared" si="27"/>
        <v>97.57</v>
      </c>
      <c r="AC19" s="11" t="str">
        <f t="shared" si="10"/>
        <v>95.29</v>
      </c>
    </row>
    <row r="20" ht="14.25" customHeight="1">
      <c r="A20" s="6">
        <v>14.0</v>
      </c>
      <c r="B20" s="11" t="str">
        <f>Data!C17</f>
        <v>87.00</v>
      </c>
      <c r="C20" s="11" t="str">
        <f t="shared" ref="C20:D20" si="38">0.1*B20+(1-0.1)*C19</f>
        <v>96.59</v>
      </c>
      <c r="D20" s="11" t="str">
        <f t="shared" si="38"/>
        <v>101.08</v>
      </c>
      <c r="E20" s="11" t="str">
        <f t="shared" si="2"/>
        <v>91.60</v>
      </c>
      <c r="F20" s="11" t="str">
        <f t="shared" si="12"/>
        <v>93.87</v>
      </c>
      <c r="G20" s="11" t="str">
        <f t="shared" si="13"/>
        <v>95.93</v>
      </c>
      <c r="H20" s="11" t="str">
        <f t="shared" si="3"/>
        <v>91.30</v>
      </c>
      <c r="I20" s="11" t="str">
        <f t="shared" si="14"/>
        <v>93.07</v>
      </c>
      <c r="J20" s="11" t="str">
        <f t="shared" si="15"/>
        <v>94.23</v>
      </c>
      <c r="K20" s="11" t="str">
        <f t="shared" si="4"/>
        <v>91.41</v>
      </c>
      <c r="L20" s="11" t="str">
        <f t="shared" si="16"/>
        <v>92.53</v>
      </c>
      <c r="M20" s="11" t="str">
        <f t="shared" si="17"/>
        <v>93.92</v>
      </c>
      <c r="N20" s="11" t="str">
        <f t="shared" si="5"/>
        <v>90.22</v>
      </c>
      <c r="O20" s="11" t="str">
        <f t="shared" si="18"/>
        <v>91.87</v>
      </c>
      <c r="P20" s="11" t="str">
        <f t="shared" si="19"/>
        <v>93.72</v>
      </c>
      <c r="Q20" s="11" t="str">
        <f t="shared" si="6"/>
        <v>88.18</v>
      </c>
      <c r="R20" s="11" t="str">
        <f t="shared" si="20"/>
        <v>91.06</v>
      </c>
      <c r="S20" s="11" t="str">
        <f t="shared" si="21"/>
        <v>93.18</v>
      </c>
      <c r="T20" s="11" t="str">
        <f t="shared" si="7"/>
        <v>85.75</v>
      </c>
      <c r="U20" s="11" t="str">
        <f t="shared" si="22"/>
        <v>90.12</v>
      </c>
      <c r="V20" s="11" t="str">
        <f t="shared" si="23"/>
        <v>92.20</v>
      </c>
      <c r="W20" s="11" t="str">
        <f t="shared" si="8"/>
        <v>83.19</v>
      </c>
      <c r="X20" s="11" t="str">
        <f t="shared" si="24"/>
        <v>89.10</v>
      </c>
      <c r="Y20" s="11" t="str">
        <f t="shared" si="25"/>
        <v>90.78</v>
      </c>
      <c r="Z20" s="11" t="str">
        <f t="shared" si="9"/>
        <v>80.69</v>
      </c>
      <c r="AA20" s="11" t="str">
        <f t="shared" si="26"/>
        <v>88.04</v>
      </c>
      <c r="AB20" s="11" t="str">
        <f t="shared" si="27"/>
        <v>88.99</v>
      </c>
      <c r="AC20" s="11" t="str">
        <f t="shared" si="10"/>
        <v>78.51</v>
      </c>
    </row>
    <row r="21" ht="14.25" customHeight="1">
      <c r="A21" s="6">
        <v>15.0</v>
      </c>
      <c r="B21" s="11" t="str">
        <f>Data!C18</f>
        <v>92.00</v>
      </c>
      <c r="C21" s="11" t="str">
        <f t="shared" ref="C21:D21" si="39">0.1*B21+(1-0.1)*C20</f>
        <v>96.13</v>
      </c>
      <c r="D21" s="11" t="str">
        <f t="shared" si="39"/>
        <v>100.58</v>
      </c>
      <c r="E21" s="11" t="str">
        <f t="shared" si="2"/>
        <v>91.18</v>
      </c>
      <c r="F21" s="11" t="str">
        <f t="shared" si="12"/>
        <v>93.50</v>
      </c>
      <c r="G21" s="11" t="str">
        <f t="shared" si="13"/>
        <v>95.45</v>
      </c>
      <c r="H21" s="11" t="str">
        <f t="shared" si="3"/>
        <v>91.07</v>
      </c>
      <c r="I21" s="11" t="str">
        <f t="shared" si="14"/>
        <v>92.75</v>
      </c>
      <c r="J21" s="11" t="str">
        <f t="shared" si="15"/>
        <v>93.79</v>
      </c>
      <c r="K21" s="11" t="str">
        <f t="shared" si="4"/>
        <v>91.27</v>
      </c>
      <c r="L21" s="11" t="str">
        <f t="shared" si="16"/>
        <v>92.32</v>
      </c>
      <c r="M21" s="11" t="str">
        <f t="shared" si="17"/>
        <v>93.28</v>
      </c>
      <c r="N21" s="11" t="str">
        <f t="shared" si="5"/>
        <v>90.72</v>
      </c>
      <c r="O21" s="11" t="str">
        <f t="shared" si="18"/>
        <v>91.94</v>
      </c>
      <c r="P21" s="11" t="str">
        <f t="shared" si="19"/>
        <v>92.83</v>
      </c>
      <c r="Q21" s="11" t="str">
        <f t="shared" si="6"/>
        <v>90.15</v>
      </c>
      <c r="R21" s="11" t="str">
        <f t="shared" si="20"/>
        <v>91.62</v>
      </c>
      <c r="S21" s="11" t="str">
        <f t="shared" si="21"/>
        <v>92.25</v>
      </c>
      <c r="T21" s="11" t="str">
        <f t="shared" si="7"/>
        <v>90.06</v>
      </c>
      <c r="U21" s="11" t="str">
        <f t="shared" si="22"/>
        <v>91.44</v>
      </c>
      <c r="V21" s="11" t="str">
        <f t="shared" si="23"/>
        <v>91.66</v>
      </c>
      <c r="W21" s="11" t="str">
        <f t="shared" si="8"/>
        <v>90.67</v>
      </c>
      <c r="X21" s="11" t="str">
        <f t="shared" si="24"/>
        <v>91.42</v>
      </c>
      <c r="Y21" s="11" t="str">
        <f t="shared" si="25"/>
        <v>91.29</v>
      </c>
      <c r="Z21" s="11" t="str">
        <f t="shared" si="9"/>
        <v>92.06</v>
      </c>
      <c r="AA21" s="11" t="str">
        <f t="shared" si="26"/>
        <v>91.60</v>
      </c>
      <c r="AB21" s="11" t="str">
        <f t="shared" si="27"/>
        <v>91.34</v>
      </c>
      <c r="AC21" s="11" t="str">
        <f t="shared" si="10"/>
        <v>94.22</v>
      </c>
    </row>
    <row r="22" ht="14.25" customHeight="1">
      <c r="A22" s="6">
        <v>16.0</v>
      </c>
      <c r="B22" s="11" t="str">
        <f>Data!C19</f>
        <v>107.00</v>
      </c>
      <c r="C22" s="11" t="str">
        <f t="shared" ref="C22:D22" si="40">0.1*B22+(1-0.1)*C21</f>
        <v>97.22</v>
      </c>
      <c r="D22" s="11" t="str">
        <f t="shared" si="40"/>
        <v>100.25</v>
      </c>
      <c r="E22" s="11" t="str">
        <f t="shared" si="2"/>
        <v>93.85</v>
      </c>
      <c r="F22" s="11" t="str">
        <f t="shared" si="12"/>
        <v>96.20</v>
      </c>
      <c r="G22" s="11" t="str">
        <f t="shared" si="13"/>
        <v>95.60</v>
      </c>
      <c r="H22" s="11" t="str">
        <f t="shared" si="3"/>
        <v>96.95</v>
      </c>
      <c r="I22" s="11" t="str">
        <f t="shared" si="14"/>
        <v>97.03</v>
      </c>
      <c r="J22" s="11" t="str">
        <f t="shared" si="15"/>
        <v>94.76</v>
      </c>
      <c r="K22" s="11" t="str">
        <f t="shared" si="4"/>
        <v>100.26</v>
      </c>
      <c r="L22" s="11" t="str">
        <f t="shared" si="16"/>
        <v>98.19</v>
      </c>
      <c r="M22" s="11" t="str">
        <f t="shared" si="17"/>
        <v>95.24</v>
      </c>
      <c r="N22" s="11" t="str">
        <f t="shared" si="5"/>
        <v>103.10</v>
      </c>
      <c r="O22" s="11" t="str">
        <f t="shared" si="18"/>
        <v>99.47</v>
      </c>
      <c r="P22" s="11" t="str">
        <f t="shared" si="19"/>
        <v>96.15</v>
      </c>
      <c r="Q22" s="11" t="str">
        <f t="shared" si="6"/>
        <v>106.11</v>
      </c>
      <c r="R22" s="11" t="str">
        <f t="shared" si="20"/>
        <v>100.85</v>
      </c>
      <c r="S22" s="11" t="str">
        <f t="shared" si="21"/>
        <v>97.41</v>
      </c>
      <c r="T22" s="11" t="str">
        <f t="shared" si="7"/>
        <v>109.45</v>
      </c>
      <c r="U22" s="11" t="str">
        <f t="shared" si="22"/>
        <v>102.33</v>
      </c>
      <c r="V22" s="11" t="str">
        <f t="shared" si="23"/>
        <v>99.13</v>
      </c>
      <c r="W22" s="11" t="str">
        <f t="shared" si="8"/>
        <v>113.00</v>
      </c>
      <c r="X22" s="11" t="str">
        <f t="shared" si="24"/>
        <v>103.88</v>
      </c>
      <c r="Y22" s="11" t="str">
        <f t="shared" si="25"/>
        <v>101.37</v>
      </c>
      <c r="Z22" s="11" t="str">
        <f t="shared" si="9"/>
        <v>116.48</v>
      </c>
      <c r="AA22" s="11" t="str">
        <f t="shared" si="26"/>
        <v>105.46</v>
      </c>
      <c r="AB22" s="11" t="str">
        <f t="shared" si="27"/>
        <v>104.05</v>
      </c>
      <c r="AC22" s="11" t="str">
        <f t="shared" si="10"/>
        <v>119.58</v>
      </c>
    </row>
    <row r="23" ht="14.25" customHeight="1">
      <c r="A23" s="6">
        <v>17.0</v>
      </c>
      <c r="B23" s="11" t="str">
        <f>Data!C20</f>
        <v>97.00</v>
      </c>
      <c r="C23" s="11" t="str">
        <f t="shared" ref="C23:D23" si="41">0.1*B23+(1-0.1)*C22</f>
        <v>97.20</v>
      </c>
      <c r="D23" s="11" t="str">
        <f t="shared" si="41"/>
        <v>99.94</v>
      </c>
      <c r="E23" s="11" t="str">
        <f t="shared" si="2"/>
        <v>94.14</v>
      </c>
      <c r="F23" s="11" t="str">
        <f t="shared" si="12"/>
        <v>96.36</v>
      </c>
      <c r="G23" s="11" t="str">
        <f t="shared" si="13"/>
        <v>95.75</v>
      </c>
      <c r="H23" s="11" t="str">
        <f t="shared" si="3"/>
        <v>97.12</v>
      </c>
      <c r="I23" s="11" t="str">
        <f t="shared" si="14"/>
        <v>97.02</v>
      </c>
      <c r="J23" s="11" t="str">
        <f t="shared" si="15"/>
        <v>95.44</v>
      </c>
      <c r="K23" s="11" t="str">
        <f t="shared" si="4"/>
        <v>99.28</v>
      </c>
      <c r="L23" s="11" t="str">
        <f t="shared" si="16"/>
        <v>97.71</v>
      </c>
      <c r="M23" s="11" t="str">
        <f t="shared" si="17"/>
        <v>96.23</v>
      </c>
      <c r="N23" s="11" t="str">
        <f t="shared" si="5"/>
        <v>100.19</v>
      </c>
      <c r="O23" s="11" t="str">
        <f t="shared" si="18"/>
        <v>98.23</v>
      </c>
      <c r="P23" s="11" t="str">
        <f t="shared" si="19"/>
        <v>97.19</v>
      </c>
      <c r="Q23" s="11" t="str">
        <f t="shared" si="6"/>
        <v>100.32</v>
      </c>
      <c r="R23" s="11" t="str">
        <f t="shared" si="20"/>
        <v>98.54</v>
      </c>
      <c r="S23" s="11" t="str">
        <f t="shared" si="21"/>
        <v>98.09</v>
      </c>
      <c r="T23" s="11" t="str">
        <f t="shared" si="7"/>
        <v>99.67</v>
      </c>
      <c r="U23" s="11" t="str">
        <f t="shared" si="22"/>
        <v>98.60</v>
      </c>
      <c r="V23" s="11" t="str">
        <f t="shared" si="23"/>
        <v>98.76</v>
      </c>
      <c r="W23" s="11" t="str">
        <f t="shared" si="8"/>
        <v>98.07</v>
      </c>
      <c r="X23" s="11" t="str">
        <f t="shared" si="24"/>
        <v>98.38</v>
      </c>
      <c r="Y23" s="11" t="str">
        <f t="shared" si="25"/>
        <v>98.97</v>
      </c>
      <c r="Z23" s="11" t="str">
        <f t="shared" si="9"/>
        <v>95.39</v>
      </c>
      <c r="AA23" s="11" t="str">
        <f t="shared" si="26"/>
        <v>97.85</v>
      </c>
      <c r="AB23" s="11" t="str">
        <f t="shared" si="27"/>
        <v>98.47</v>
      </c>
      <c r="AC23" s="11" t="str">
        <f t="shared" si="10"/>
        <v>91.64</v>
      </c>
    </row>
    <row r="24" ht="14.25" customHeight="1">
      <c r="A24" s="6">
        <v>18.0</v>
      </c>
      <c r="B24" s="11" t="str">
        <f>Data!C21</f>
        <v>87.00</v>
      </c>
      <c r="C24" s="11" t="str">
        <f t="shared" ref="C24:D24" si="42">0.1*B24+(1-0.1)*C23</f>
        <v>96.18</v>
      </c>
      <c r="D24" s="11" t="str">
        <f t="shared" si="42"/>
        <v>99.57</v>
      </c>
      <c r="E24" s="11" t="str">
        <f t="shared" si="2"/>
        <v>92.41</v>
      </c>
      <c r="F24" s="11" t="str">
        <f t="shared" si="12"/>
        <v>94.49</v>
      </c>
      <c r="G24" s="11" t="str">
        <f t="shared" si="13"/>
        <v>95.50</v>
      </c>
      <c r="H24" s="11" t="str">
        <f t="shared" si="3"/>
        <v>93.23</v>
      </c>
      <c r="I24" s="11" t="str">
        <f t="shared" si="14"/>
        <v>94.01</v>
      </c>
      <c r="J24" s="11" t="str">
        <f t="shared" si="15"/>
        <v>95.01</v>
      </c>
      <c r="K24" s="11" t="str">
        <f t="shared" si="4"/>
        <v>92.59</v>
      </c>
      <c r="L24" s="11" t="str">
        <f t="shared" si="16"/>
        <v>93.43</v>
      </c>
      <c r="M24" s="11" t="str">
        <f t="shared" si="17"/>
        <v>95.11</v>
      </c>
      <c r="N24" s="11" t="str">
        <f t="shared" si="5"/>
        <v>90.63</v>
      </c>
      <c r="O24" s="11" t="str">
        <f t="shared" si="18"/>
        <v>92.62</v>
      </c>
      <c r="P24" s="11" t="str">
        <f t="shared" si="19"/>
        <v>94.90</v>
      </c>
      <c r="Q24" s="11" t="str">
        <f t="shared" si="6"/>
        <v>88.04</v>
      </c>
      <c r="R24" s="11" t="str">
        <f t="shared" si="20"/>
        <v>91.62</v>
      </c>
      <c r="S24" s="11" t="str">
        <f t="shared" si="21"/>
        <v>94.20</v>
      </c>
      <c r="T24" s="11" t="str">
        <f t="shared" si="7"/>
        <v>85.14</v>
      </c>
      <c r="U24" s="11" t="str">
        <f t="shared" si="22"/>
        <v>90.48</v>
      </c>
      <c r="V24" s="11" t="str">
        <f t="shared" si="23"/>
        <v>92.96</v>
      </c>
      <c r="W24" s="11" t="str">
        <f t="shared" si="8"/>
        <v>82.20</v>
      </c>
      <c r="X24" s="11" t="str">
        <f t="shared" si="24"/>
        <v>89.28</v>
      </c>
      <c r="Y24" s="11" t="str">
        <f t="shared" si="25"/>
        <v>91.22</v>
      </c>
      <c r="Z24" s="11" t="str">
        <f t="shared" si="9"/>
        <v>79.58</v>
      </c>
      <c r="AA24" s="11" t="str">
        <f t="shared" si="26"/>
        <v>88.08</v>
      </c>
      <c r="AB24" s="11" t="str">
        <f t="shared" si="27"/>
        <v>89.12</v>
      </c>
      <c r="AC24" s="11" t="str">
        <f t="shared" si="10"/>
        <v>77.70</v>
      </c>
    </row>
    <row r="25" ht="14.25" customHeight="1">
      <c r="A25" s="6">
        <v>19.0</v>
      </c>
      <c r="B25" s="11" t="str">
        <f>Data!C22</f>
        <v>97.00</v>
      </c>
      <c r="C25" s="11" t="str">
        <f t="shared" ref="C25:D25" si="43">0.1*B25+(1-0.1)*C24</f>
        <v>96.26</v>
      </c>
      <c r="D25" s="11" t="str">
        <f t="shared" si="43"/>
        <v>99.23</v>
      </c>
      <c r="E25" s="11" t="str">
        <f t="shared" si="2"/>
        <v>92.95</v>
      </c>
      <c r="F25" s="11" t="str">
        <f t="shared" si="12"/>
        <v>94.99</v>
      </c>
      <c r="G25" s="11" t="str">
        <f t="shared" si="13"/>
        <v>95.40</v>
      </c>
      <c r="H25" s="11" t="str">
        <f t="shared" si="3"/>
        <v>94.48</v>
      </c>
      <c r="I25" s="11" t="str">
        <f t="shared" si="14"/>
        <v>94.91</v>
      </c>
      <c r="J25" s="11" t="str">
        <f t="shared" si="15"/>
        <v>94.98</v>
      </c>
      <c r="K25" s="11" t="str">
        <f t="shared" si="4"/>
        <v>94.81</v>
      </c>
      <c r="L25" s="11" t="str">
        <f t="shared" si="16"/>
        <v>94.86</v>
      </c>
      <c r="M25" s="11" t="str">
        <f t="shared" si="17"/>
        <v>95.01</v>
      </c>
      <c r="N25" s="11" t="str">
        <f t="shared" si="5"/>
        <v>94.60</v>
      </c>
      <c r="O25" s="11" t="str">
        <f t="shared" si="18"/>
        <v>94.81</v>
      </c>
      <c r="P25" s="11" t="str">
        <f t="shared" si="19"/>
        <v>94.86</v>
      </c>
      <c r="Q25" s="11" t="str">
        <f t="shared" si="6"/>
        <v>94.71</v>
      </c>
      <c r="R25" s="11" t="str">
        <f t="shared" si="20"/>
        <v>94.85</v>
      </c>
      <c r="S25" s="11" t="str">
        <f t="shared" si="21"/>
        <v>94.59</v>
      </c>
      <c r="T25" s="11" t="str">
        <f t="shared" si="7"/>
        <v>95.49</v>
      </c>
      <c r="U25" s="11" t="str">
        <f t="shared" si="22"/>
        <v>95.04</v>
      </c>
      <c r="V25" s="11" t="str">
        <f t="shared" si="23"/>
        <v>94.42</v>
      </c>
      <c r="W25" s="11" t="str">
        <f t="shared" si="8"/>
        <v>97.12</v>
      </c>
      <c r="X25" s="11" t="str">
        <f t="shared" si="24"/>
        <v>95.46</v>
      </c>
      <c r="Y25" s="11" t="str">
        <f t="shared" si="25"/>
        <v>94.61</v>
      </c>
      <c r="Z25" s="11" t="str">
        <f t="shared" si="9"/>
        <v>99.69</v>
      </c>
      <c r="AA25" s="11" t="str">
        <f t="shared" si="26"/>
        <v>96.11</v>
      </c>
      <c r="AB25" s="11" t="str">
        <f t="shared" si="27"/>
        <v>95.41</v>
      </c>
      <c r="AC25" s="11" t="str">
        <f t="shared" si="10"/>
        <v>103.09</v>
      </c>
    </row>
    <row r="26" ht="14.25" customHeight="1">
      <c r="A26" s="6">
        <v>20.0</v>
      </c>
      <c r="B26" s="11" t="str">
        <f>Data!C23</f>
        <v>102.00</v>
      </c>
      <c r="C26" s="11" t="str">
        <f t="shared" ref="C26:D26" si="44">0.1*B26+(1-0.1)*C25</f>
        <v>96.83</v>
      </c>
      <c r="D26" s="11" t="str">
        <f t="shared" si="44"/>
        <v>98.99</v>
      </c>
      <c r="E26" s="11" t="str">
        <f t="shared" si="2"/>
        <v>94.43</v>
      </c>
      <c r="F26" s="11" t="str">
        <f t="shared" si="12"/>
        <v>96.39</v>
      </c>
      <c r="G26" s="11" t="str">
        <f t="shared" si="13"/>
        <v>95.60</v>
      </c>
      <c r="H26" s="11" t="str">
        <f t="shared" si="3"/>
        <v>97.39</v>
      </c>
      <c r="I26" s="11" t="str">
        <f t="shared" si="14"/>
        <v>97.04</v>
      </c>
      <c r="J26" s="11" t="str">
        <f t="shared" si="15"/>
        <v>95.60</v>
      </c>
      <c r="K26" s="11" t="str">
        <f t="shared" si="4"/>
        <v>99.09</v>
      </c>
      <c r="L26" s="11" t="str">
        <f t="shared" si="16"/>
        <v>97.71</v>
      </c>
      <c r="M26" s="11" t="str">
        <f t="shared" si="17"/>
        <v>96.09</v>
      </c>
      <c r="N26" s="11" t="str">
        <f t="shared" si="5"/>
        <v>100.42</v>
      </c>
      <c r="O26" s="11" t="str">
        <f t="shared" si="18"/>
        <v>98.40</v>
      </c>
      <c r="P26" s="11" t="str">
        <f t="shared" si="19"/>
        <v>96.63</v>
      </c>
      <c r="Q26" s="11" t="str">
        <f t="shared" si="6"/>
        <v>101.95</v>
      </c>
      <c r="R26" s="11" t="str">
        <f t="shared" si="20"/>
        <v>99.14</v>
      </c>
      <c r="S26" s="11" t="str">
        <f t="shared" si="21"/>
        <v>97.32</v>
      </c>
      <c r="T26" s="11" t="str">
        <f t="shared" si="7"/>
        <v>103.69</v>
      </c>
      <c r="U26" s="11" t="str">
        <f t="shared" si="22"/>
        <v>99.91</v>
      </c>
      <c r="V26" s="11" t="str">
        <f t="shared" si="23"/>
        <v>98.27</v>
      </c>
      <c r="W26" s="11" t="str">
        <f t="shared" si="8"/>
        <v>105.41</v>
      </c>
      <c r="X26" s="11" t="str">
        <f t="shared" si="24"/>
        <v>100.69</v>
      </c>
      <c r="Y26" s="11" t="str">
        <f t="shared" si="25"/>
        <v>99.47</v>
      </c>
      <c r="Z26" s="11" t="str">
        <f t="shared" si="9"/>
        <v>106.77</v>
      </c>
      <c r="AA26" s="11" t="str">
        <f t="shared" si="26"/>
        <v>101.41</v>
      </c>
      <c r="AB26" s="11" t="str">
        <f t="shared" si="27"/>
        <v>100.81</v>
      </c>
      <c r="AC26" s="11" t="str">
        <f t="shared" si="10"/>
        <v>107.41</v>
      </c>
    </row>
    <row r="27" ht="14.25" customHeight="1">
      <c r="A27" s="6">
        <v>21.0</v>
      </c>
      <c r="B27" s="11" t="str">
        <f>Data!C24</f>
        <v>107.00</v>
      </c>
      <c r="C27" s="11" t="str">
        <f t="shared" ref="C27:D27" si="45">0.1*B27+(1-0.1)*C26</f>
        <v>97.85</v>
      </c>
      <c r="D27" s="11" t="str">
        <f t="shared" si="45"/>
        <v>98.88</v>
      </c>
      <c r="E27" s="11" t="str">
        <f t="shared" si="2"/>
        <v>96.70</v>
      </c>
      <c r="F27" s="11" t="str">
        <f t="shared" si="12"/>
        <v>98.51</v>
      </c>
      <c r="G27" s="11" t="str">
        <f t="shared" si="13"/>
        <v>96.18</v>
      </c>
      <c r="H27" s="11" t="str">
        <f t="shared" si="3"/>
        <v>101.43</v>
      </c>
      <c r="I27" s="11" t="str">
        <f t="shared" si="14"/>
        <v>100.03</v>
      </c>
      <c r="J27" s="11" t="str">
        <f t="shared" si="15"/>
        <v>96.93</v>
      </c>
      <c r="K27" s="11" t="str">
        <f t="shared" si="4"/>
        <v>104.45</v>
      </c>
      <c r="L27" s="11" t="str">
        <f t="shared" si="16"/>
        <v>101.43</v>
      </c>
      <c r="M27" s="11" t="str">
        <f t="shared" si="17"/>
        <v>98.23</v>
      </c>
      <c r="N27" s="11" t="str">
        <f t="shared" si="5"/>
        <v>106.77</v>
      </c>
      <c r="O27" s="11" t="str">
        <f t="shared" si="18"/>
        <v>102.70</v>
      </c>
      <c r="P27" s="11" t="str">
        <f t="shared" si="19"/>
        <v>99.67</v>
      </c>
      <c r="Q27" s="11" t="str">
        <f t="shared" si="6"/>
        <v>108.77</v>
      </c>
      <c r="R27" s="11" t="str">
        <f t="shared" si="20"/>
        <v>103.86</v>
      </c>
      <c r="S27" s="11" t="str">
        <f t="shared" si="21"/>
        <v>101.24</v>
      </c>
      <c r="T27" s="11" t="str">
        <f t="shared" si="7"/>
        <v>110.39</v>
      </c>
      <c r="U27" s="11" t="str">
        <f t="shared" si="22"/>
        <v>104.87</v>
      </c>
      <c r="V27" s="11" t="str">
        <f t="shared" si="23"/>
        <v>102.89</v>
      </c>
      <c r="W27" s="11" t="str">
        <f t="shared" si="8"/>
        <v>111.48</v>
      </c>
      <c r="X27" s="11" t="str">
        <f t="shared" si="24"/>
        <v>105.74</v>
      </c>
      <c r="Y27" s="11" t="str">
        <f t="shared" si="25"/>
        <v>104.49</v>
      </c>
      <c r="Z27" s="11" t="str">
        <f t="shared" si="9"/>
        <v>112.00</v>
      </c>
      <c r="AA27" s="11" t="str">
        <f t="shared" si="26"/>
        <v>106.44</v>
      </c>
      <c r="AB27" s="11" t="str">
        <f t="shared" si="27"/>
        <v>105.88</v>
      </c>
      <c r="AC27" s="11" t="str">
        <f t="shared" si="10"/>
        <v>112.07</v>
      </c>
    </row>
    <row r="28" ht="14.25" customHeight="1">
      <c r="A28" s="6">
        <v>22.0</v>
      </c>
      <c r="B28" s="11" t="str">
        <f>Data!C25</f>
        <v>97.00</v>
      </c>
      <c r="C28" s="11" t="str">
        <f t="shared" ref="C28:D28" si="46">0.1*B28+(1-0.1)*C27</f>
        <v>97.76</v>
      </c>
      <c r="D28" s="11" t="str">
        <f t="shared" si="46"/>
        <v>98.77</v>
      </c>
      <c r="E28" s="11" t="str">
        <f t="shared" si="2"/>
        <v>96.65</v>
      </c>
      <c r="F28" s="11" t="str">
        <f t="shared" si="12"/>
        <v>98.21</v>
      </c>
      <c r="G28" s="11" t="str">
        <f t="shared" si="13"/>
        <v>96.59</v>
      </c>
      <c r="H28" s="11" t="str">
        <f t="shared" si="3"/>
        <v>100.24</v>
      </c>
      <c r="I28" s="11" t="str">
        <f t="shared" si="14"/>
        <v>99.12</v>
      </c>
      <c r="J28" s="11" t="str">
        <f t="shared" si="15"/>
        <v>97.58</v>
      </c>
      <c r="K28" s="11" t="str">
        <f t="shared" si="4"/>
        <v>101.31</v>
      </c>
      <c r="L28" s="11" t="str">
        <f t="shared" si="16"/>
        <v>99.66</v>
      </c>
      <c r="M28" s="11" t="str">
        <f t="shared" si="17"/>
        <v>98.80</v>
      </c>
      <c r="N28" s="11" t="str">
        <f t="shared" si="5"/>
        <v>101.09</v>
      </c>
      <c r="O28" s="11" t="str">
        <f t="shared" si="18"/>
        <v>99.85</v>
      </c>
      <c r="P28" s="11" t="str">
        <f t="shared" si="19"/>
        <v>99.76</v>
      </c>
      <c r="Q28" s="11" t="str">
        <f t="shared" si="6"/>
        <v>100.04</v>
      </c>
      <c r="R28" s="11" t="str">
        <f t="shared" si="20"/>
        <v>99.74</v>
      </c>
      <c r="S28" s="11" t="str">
        <f t="shared" si="21"/>
        <v>100.34</v>
      </c>
      <c r="T28" s="11" t="str">
        <f t="shared" si="7"/>
        <v>98.24</v>
      </c>
      <c r="U28" s="11" t="str">
        <f t="shared" si="22"/>
        <v>99.36</v>
      </c>
      <c r="V28" s="11" t="str">
        <f t="shared" si="23"/>
        <v>100.42</v>
      </c>
      <c r="W28" s="11" t="str">
        <f t="shared" si="8"/>
        <v>95.83</v>
      </c>
      <c r="X28" s="11" t="str">
        <f t="shared" si="24"/>
        <v>98.75</v>
      </c>
      <c r="Y28" s="11" t="str">
        <f t="shared" si="25"/>
        <v>99.90</v>
      </c>
      <c r="Z28" s="11" t="str">
        <f t="shared" si="9"/>
        <v>93.01</v>
      </c>
      <c r="AA28" s="11" t="str">
        <f t="shared" si="26"/>
        <v>97.94</v>
      </c>
      <c r="AB28" s="11" t="str">
        <f t="shared" si="27"/>
        <v>98.74</v>
      </c>
      <c r="AC28" s="11" t="str">
        <f t="shared" si="10"/>
        <v>90.01</v>
      </c>
    </row>
    <row r="29" ht="14.25" customHeight="1">
      <c r="A29" s="6">
        <v>23.0</v>
      </c>
      <c r="B29" s="11" t="str">
        <f>Data!C26</f>
        <v>82.00</v>
      </c>
      <c r="C29" s="11" t="str">
        <f t="shared" ref="C29:D29" si="47">0.1*B29+(1-0.1)*C28</f>
        <v>96.19</v>
      </c>
      <c r="D29" s="11" t="str">
        <f t="shared" si="47"/>
        <v>98.51</v>
      </c>
      <c r="E29" s="11" t="str">
        <f t="shared" si="2"/>
        <v>93.61</v>
      </c>
      <c r="F29" s="11" t="str">
        <f t="shared" si="12"/>
        <v>94.97</v>
      </c>
      <c r="G29" s="11" t="str">
        <f t="shared" si="13"/>
        <v>96.26</v>
      </c>
      <c r="H29" s="11" t="str">
        <f t="shared" si="3"/>
        <v>93.35</v>
      </c>
      <c r="I29" s="11" t="str">
        <f t="shared" si="14"/>
        <v>93.98</v>
      </c>
      <c r="J29" s="11" t="str">
        <f t="shared" si="15"/>
        <v>96.50</v>
      </c>
      <c r="K29" s="11" t="str">
        <f t="shared" si="4"/>
        <v>90.38</v>
      </c>
      <c r="L29" s="11" t="str">
        <f t="shared" si="16"/>
        <v>92.59</v>
      </c>
      <c r="M29" s="11" t="str">
        <f t="shared" si="17"/>
        <v>96.32</v>
      </c>
      <c r="N29" s="11" t="str">
        <f t="shared" si="5"/>
        <v>86.39</v>
      </c>
      <c r="O29" s="11" t="str">
        <f t="shared" si="18"/>
        <v>90.93</v>
      </c>
      <c r="P29" s="11" t="str">
        <f t="shared" si="19"/>
        <v>95.34</v>
      </c>
      <c r="Q29" s="11" t="str">
        <f t="shared" si="6"/>
        <v>82.09</v>
      </c>
      <c r="R29" s="11" t="str">
        <f t="shared" si="20"/>
        <v>89.10</v>
      </c>
      <c r="S29" s="11" t="str">
        <f t="shared" si="21"/>
        <v>93.59</v>
      </c>
      <c r="T29" s="11" t="str">
        <f t="shared" si="7"/>
        <v>77.85</v>
      </c>
      <c r="U29" s="11" t="str">
        <f t="shared" si="22"/>
        <v>87.21</v>
      </c>
      <c r="V29" s="11" t="str">
        <f t="shared" si="23"/>
        <v>91.17</v>
      </c>
      <c r="W29" s="11" t="str">
        <f t="shared" si="8"/>
        <v>74.00</v>
      </c>
      <c r="X29" s="11" t="str">
        <f t="shared" si="24"/>
        <v>85.35</v>
      </c>
      <c r="Y29" s="11" t="str">
        <f t="shared" si="25"/>
        <v>88.26</v>
      </c>
      <c r="Z29" s="11" t="str">
        <f t="shared" si="9"/>
        <v>70.80</v>
      </c>
      <c r="AA29" s="11" t="str">
        <f t="shared" si="26"/>
        <v>83.59</v>
      </c>
      <c r="AB29" s="11" t="str">
        <f t="shared" si="27"/>
        <v>85.11</v>
      </c>
      <c r="AC29" s="11" t="str">
        <f t="shared" si="10"/>
        <v>68.45</v>
      </c>
    </row>
    <row r="30" ht="14.25" customHeight="1">
      <c r="A30" s="6">
        <v>24.0</v>
      </c>
      <c r="B30" s="11" t="str">
        <f>Data!C27</f>
        <v>87.00</v>
      </c>
      <c r="C30" s="11" t="str">
        <f t="shared" ref="C30:D30" si="48">0.1*B30+(1-0.1)*C29</f>
        <v>95.27</v>
      </c>
      <c r="D30" s="11" t="str">
        <f t="shared" si="48"/>
        <v>98.19</v>
      </c>
      <c r="E30" s="11" t="str">
        <f t="shared" si="2"/>
        <v>92.03</v>
      </c>
      <c r="F30" s="11" t="str">
        <f t="shared" si="12"/>
        <v>93.38</v>
      </c>
      <c r="G30" s="11" t="str">
        <f t="shared" si="13"/>
        <v>95.68</v>
      </c>
      <c r="H30" s="11" t="str">
        <f t="shared" si="3"/>
        <v>90.49</v>
      </c>
      <c r="I30" s="11" t="str">
        <f t="shared" si="14"/>
        <v>91.89</v>
      </c>
      <c r="J30" s="11" t="str">
        <f t="shared" si="15"/>
        <v>95.12</v>
      </c>
      <c r="K30" s="11" t="str">
        <f t="shared" si="4"/>
        <v>87.27</v>
      </c>
      <c r="L30" s="11" t="str">
        <f t="shared" si="16"/>
        <v>90.36</v>
      </c>
      <c r="M30" s="11" t="str">
        <f t="shared" si="17"/>
        <v>93.93</v>
      </c>
      <c r="N30" s="11" t="str">
        <f t="shared" si="5"/>
        <v>84.40</v>
      </c>
      <c r="O30" s="11" t="str">
        <f t="shared" si="18"/>
        <v>88.96</v>
      </c>
      <c r="P30" s="11" t="str">
        <f t="shared" si="19"/>
        <v>92.15</v>
      </c>
      <c r="Q30" s="11" t="str">
        <f t="shared" si="6"/>
        <v>82.58</v>
      </c>
      <c r="R30" s="11" t="str">
        <f t="shared" si="20"/>
        <v>87.84</v>
      </c>
      <c r="S30" s="11" t="str">
        <f t="shared" si="21"/>
        <v>90.14</v>
      </c>
      <c r="T30" s="11" t="str">
        <f t="shared" si="7"/>
        <v>82.08</v>
      </c>
      <c r="U30" s="11" t="str">
        <f t="shared" si="22"/>
        <v>87.06</v>
      </c>
      <c r="V30" s="11" t="str">
        <f t="shared" si="23"/>
        <v>88.30</v>
      </c>
      <c r="W30" s="11" t="str">
        <f t="shared" si="8"/>
        <v>82.95</v>
      </c>
      <c r="X30" s="11" t="str">
        <f t="shared" si="24"/>
        <v>86.67</v>
      </c>
      <c r="Y30" s="11" t="str">
        <f t="shared" si="25"/>
        <v>86.99</v>
      </c>
      <c r="Z30" s="11" t="str">
        <f t="shared" si="9"/>
        <v>85.08</v>
      </c>
      <c r="AA30" s="11" t="str">
        <f t="shared" si="26"/>
        <v>86.66</v>
      </c>
      <c r="AB30" s="11" t="str">
        <f t="shared" si="27"/>
        <v>86.50</v>
      </c>
      <c r="AC30" s="11" t="str">
        <f t="shared" si="10"/>
        <v>88.21</v>
      </c>
    </row>
    <row r="31" ht="14.25" customHeight="1"/>
    <row r="32" ht="14.25" customHeight="1">
      <c r="B32" s="17" t="s">
        <v>45</v>
      </c>
      <c r="E32" s="18">
        <v>0.1</v>
      </c>
      <c r="H32" s="18">
        <v>0.2</v>
      </c>
      <c r="K32" s="18">
        <v>0.3</v>
      </c>
      <c r="N32" s="18">
        <v>0.4</v>
      </c>
      <c r="Q32" s="18">
        <v>0.5</v>
      </c>
      <c r="T32" s="18">
        <v>0.6</v>
      </c>
      <c r="W32" s="18">
        <v>0.7</v>
      </c>
      <c r="Z32" s="18">
        <v>0.8</v>
      </c>
      <c r="AC32" s="18">
        <v>0.9</v>
      </c>
    </row>
    <row r="33" ht="14.25" customHeight="1">
      <c r="B33" s="17" t="s">
        <v>16</v>
      </c>
      <c r="E33" s="12" t="str">
        <f>SUMPRODUCT((B9:B30-E8:E29)^2)/COUNT(E8:E29)</f>
        <v>63.522</v>
      </c>
      <c r="H33" s="12" t="str">
        <f>SUMPRODUCT((B9:B30-H8:H29)^2)/COUNT(H8:H29)</f>
        <v>66.392</v>
      </c>
      <c r="K33" s="12" t="str">
        <f>SUMPRODUCT((B9:B30-K8:K29)^2)/COUNT(K8:K29)</f>
        <v>75.119</v>
      </c>
      <c r="N33" s="12" t="str">
        <f>SUMPRODUCT((B9:B30-N8:N29)^2)/COUNT(N8:N29)</f>
        <v>88.048</v>
      </c>
      <c r="Q33" s="12" t="str">
        <f>SUMPRODUCT((B9:B30-Q8:Q29)^2)/COUNT(Q8:Q29)</f>
        <v>104.989</v>
      </c>
      <c r="T33" s="12" t="str">
        <f>SUMPRODUCT((B9:B30-T8:T29)^2)/COUNT(T8:T29)</f>
        <v>126.055</v>
      </c>
      <c r="W33" s="12" t="str">
        <f>SUMPRODUCT((B9:B30-W8:W29)^2)/COUNT(W8:W29)</f>
        <v>151.733</v>
      </c>
      <c r="Z33" s="12" t="str">
        <f>SUMPRODUCT((B9:B30-Z8:Z29)^2)/COUNT(Z8:Z29)</f>
        <v>183.135</v>
      </c>
      <c r="AC33" s="12" t="str">
        <f>SUMPRODUCT((B9:B30-AC8:AC29)^2)/COUNT(AC8:AC29)</f>
        <v>222.630</v>
      </c>
    </row>
    <row r="34" ht="14.25" customHeight="1">
      <c r="B34" s="17" t="s">
        <v>17</v>
      </c>
      <c r="E34" s="12" t="str">
        <f>SUMPRODUCT(ABS(B9:B30-E8:E29))/COUNT(E8:E29)</f>
        <v>6.898</v>
      </c>
      <c r="H34" s="12" t="str">
        <f>SUMPRODUCT(ABS(B9:B30-H8:H29))/COUNT(H8:H29)</f>
        <v>6.703</v>
      </c>
      <c r="K34" s="12" t="str">
        <f>SUMPRODUCT(ABS(B9:B30-K8:K29))/COUNT(K8:K29)</f>
        <v>7.112</v>
      </c>
      <c r="N34" s="12" t="str">
        <f>SUMPRODUCT(ABS(B9:B30-N8:N29))/COUNT(N8:N29)</f>
        <v>7.867</v>
      </c>
      <c r="Q34" s="12" t="str">
        <f>SUMPRODUCT(ABS(B9:B30-Q8:Q29))/COUNT(Q8:Q29)</f>
        <v>8.983</v>
      </c>
      <c r="T34" s="12" t="str">
        <f>SUMPRODUCT(ABS(B9:B30-T8:T29))/COUNT(T8:T29)</f>
        <v>9.873</v>
      </c>
      <c r="W34" s="12" t="str">
        <f>SUMPRODUCT(ABS(B9:B30-W8:W29))/COUNT(W8:W29)</f>
        <v>10.913</v>
      </c>
      <c r="Z34" s="12" t="str">
        <f>SUMPRODUCT(ABS(B9:B30-Z8:Z29))/COUNT(Z8:Z29)</f>
        <v>11.736</v>
      </c>
      <c r="AC34" s="12" t="str">
        <f>SUMPRODUCT(ABS(B9:B30-AC8:AC29))/COUNT(AC8:AC29)</f>
        <v>12.593</v>
      </c>
    </row>
    <row r="35" ht="14.25" customHeight="1">
      <c r="B35" s="17" t="s">
        <v>18</v>
      </c>
      <c r="E35" s="13" t="str">
        <f>SUMPRODUCT(ABS(B9:B30-E8:E29)/B9:B30)/COUNT(E8:E29)*100</f>
        <v>7.34</v>
      </c>
      <c r="H35" s="13" t="str">
        <f>SUMPRODUCT(ABS(B9:B30-H8:H29)/B9:B30)/COUNT(H8:H29)*100</f>
        <v>7.11</v>
      </c>
      <c r="K35" s="13" t="str">
        <f>SUMPRODUCT(ABS(B9:B30-K8:K29)/B9:B30)/COUNT(K8:K29)*100</f>
        <v>7.55</v>
      </c>
      <c r="N35" s="13" t="str">
        <f>SUMPRODUCT(ABS(B9:B30-N8:N29)/B9:B30)/COUNT(N8:N29)*100</f>
        <v>8.34</v>
      </c>
      <c r="Q35" s="13" t="str">
        <f>SUMPRODUCT(ABS(B9:B30-Q8:Q29)/B9:B30)/COUNT(Q8:Q29)*100</f>
        <v>9.54</v>
      </c>
      <c r="T35" s="13" t="str">
        <f>SUMPRODUCT(ABS(B9:B30-T8:T29)/B9:B30)/COUNT(T8:T29)*100</f>
        <v>10.49</v>
      </c>
      <c r="W35" s="13" t="str">
        <f>SUMPRODUCT(ABS(B9:B30-W8:W29)/B9:B30)/COUNT(W8:W29)*100</f>
        <v>11.58</v>
      </c>
      <c r="Z35" s="13" t="str">
        <f>SUMPRODUCT(ABS(B9:B30-Z8:Z29)/B9:B30)/COUNT(Z8:Z29)*100</f>
        <v>12.43</v>
      </c>
      <c r="AC35" s="13" t="str">
        <f>SUMPRODUCT(ABS(B9:B30-AC8:AC29)/B9:B30)/COUNT(AC8:AC29)*100</f>
        <v>13.29</v>
      </c>
    </row>
    <row r="36" ht="14.25" customHeight="1">
      <c r="A36" s="2" t="s">
        <v>46</v>
      </c>
      <c r="B36" s="18" t="str">
        <f t="array" ref="B36">INDEX(E32:AC32,MATCH(MIN(E33:AC33),E33:AC33,0))</f>
        <v>0.1</v>
      </c>
    </row>
    <row r="37" ht="14.25" customHeight="1">
      <c r="A37" s="2" t="s">
        <v>20</v>
      </c>
      <c r="B37" s="15" t="str">
        <f>MIN(E33:AC33)</f>
        <v>63.522</v>
      </c>
    </row>
    <row r="38" ht="14.25" customHeight="1"/>
    <row r="39" ht="14.25" customHeight="1"/>
    <row r="40" ht="14.25" customHeight="1">
      <c r="A40" s="10" t="s">
        <v>21</v>
      </c>
    </row>
    <row r="41" ht="14.25" customHeight="1">
      <c r="A41" s="5" t="s">
        <v>2</v>
      </c>
      <c r="B41" s="5" t="s">
        <v>9</v>
      </c>
      <c r="C41" s="5" t="s">
        <v>48</v>
      </c>
      <c r="D41" s="5" t="s">
        <v>49</v>
      </c>
      <c r="E41" s="5" t="s">
        <v>36</v>
      </c>
      <c r="F41" s="5" t="s">
        <v>50</v>
      </c>
      <c r="G41" s="5" t="s">
        <v>51</v>
      </c>
      <c r="H41" s="5" t="s">
        <v>37</v>
      </c>
      <c r="I41" s="5" t="s">
        <v>52</v>
      </c>
      <c r="J41" s="5" t="s">
        <v>53</v>
      </c>
      <c r="K41" s="5" t="s">
        <v>38</v>
      </c>
      <c r="L41" s="5" t="s">
        <v>54</v>
      </c>
      <c r="M41" s="5" t="s">
        <v>55</v>
      </c>
      <c r="N41" s="5" t="s">
        <v>39</v>
      </c>
      <c r="O41" s="5" t="s">
        <v>56</v>
      </c>
      <c r="P41" s="5" t="s">
        <v>57</v>
      </c>
      <c r="Q41" s="5" t="s">
        <v>40</v>
      </c>
      <c r="R41" s="5" t="s">
        <v>58</v>
      </c>
      <c r="S41" s="5" t="s">
        <v>59</v>
      </c>
      <c r="T41" s="5" t="s">
        <v>41</v>
      </c>
      <c r="U41" s="5" t="s">
        <v>60</v>
      </c>
      <c r="V41" s="5" t="s">
        <v>61</v>
      </c>
      <c r="W41" s="5" t="s">
        <v>42</v>
      </c>
      <c r="X41" s="5" t="s">
        <v>62</v>
      </c>
      <c r="Y41" s="5" t="s">
        <v>63</v>
      </c>
      <c r="Z41" s="5" t="s">
        <v>43</v>
      </c>
      <c r="AA41" s="5" t="s">
        <v>64</v>
      </c>
      <c r="AB41" s="5" t="s">
        <v>65</v>
      </c>
      <c r="AC41" s="5" t="s">
        <v>44</v>
      </c>
    </row>
    <row r="42" ht="14.25" customHeight="1">
      <c r="A42" s="6">
        <v>1.0</v>
      </c>
      <c r="B42" s="11" t="str">
        <f>Data!E4</f>
        <v>174.80</v>
      </c>
      <c r="C42" s="11" t="str">
        <f>B42</f>
        <v>174.80</v>
      </c>
      <c r="D42" s="11" t="str">
        <f>B42</f>
        <v>174.80</v>
      </c>
      <c r="E42" s="11" t="str">
        <f t="shared" ref="E42:E65" si="50">2*C42-D42+(0.1/(1-0.1))*(C42-D42)</f>
        <v>174.80</v>
      </c>
      <c r="F42" s="11" t="str">
        <f>B42</f>
        <v>174.80</v>
      </c>
      <c r="G42" s="11" t="str">
        <f>B42</f>
        <v>174.80</v>
      </c>
      <c r="H42" s="11" t="str">
        <f t="shared" ref="H42:H65" si="51">2*F42-G42+(0.2/(1-0.2))*(F42-G42)</f>
        <v>174.80</v>
      </c>
      <c r="I42" s="11" t="str">
        <f>B42</f>
        <v>174.80</v>
      </c>
      <c r="J42" s="11" t="str">
        <f>B42</f>
        <v>174.80</v>
      </c>
      <c r="K42" s="11" t="str">
        <f t="shared" ref="K42:K65" si="52">2*I42-J42+(0.3/(1-0.3))*(I42-J42)</f>
        <v>174.80</v>
      </c>
      <c r="L42" s="11" t="str">
        <f>B42</f>
        <v>174.80</v>
      </c>
      <c r="M42" s="11" t="str">
        <f>B42</f>
        <v>174.80</v>
      </c>
      <c r="N42" s="11" t="str">
        <f t="shared" ref="N42:N65" si="53">2*L42-M42+(0.4/(1-0.4))*(L42-M42)</f>
        <v>174.80</v>
      </c>
      <c r="O42" s="11" t="str">
        <f>B42</f>
        <v>174.80</v>
      </c>
      <c r="P42" s="11" t="str">
        <f>B42</f>
        <v>174.80</v>
      </c>
      <c r="Q42" s="11" t="str">
        <f t="shared" ref="Q42:Q65" si="54">2*O42-P42+(0.5/(1-0.5))*(O42-P42)</f>
        <v>174.80</v>
      </c>
      <c r="R42" s="11" t="str">
        <f>B42</f>
        <v>174.80</v>
      </c>
      <c r="S42" s="11" t="str">
        <f>B42</f>
        <v>174.80</v>
      </c>
      <c r="T42" s="11" t="str">
        <f t="shared" ref="T42:T65" si="55">2*R42-S42+(0.6/(1-0.6))*(R42-S42)</f>
        <v>174.80</v>
      </c>
      <c r="U42" s="11" t="str">
        <f>B42</f>
        <v>174.80</v>
      </c>
      <c r="V42" s="11" t="str">
        <f>B42</f>
        <v>174.80</v>
      </c>
      <c r="W42" s="11" t="str">
        <f t="shared" ref="W42:W65" si="56">2*U42-V42+(0.7/(1-0.7))*(U42-V42)</f>
        <v>174.80</v>
      </c>
      <c r="X42" s="11" t="str">
        <f>B42</f>
        <v>174.80</v>
      </c>
      <c r="Y42" s="11" t="str">
        <f>B42</f>
        <v>174.80</v>
      </c>
      <c r="Z42" s="11" t="str">
        <f t="shared" ref="Z42:Z65" si="57">2*X42-Y42+(0.8/(1-0.8))*(X42-Y42)</f>
        <v>174.80</v>
      </c>
      <c r="AA42" s="11" t="str">
        <f>B42</f>
        <v>174.80</v>
      </c>
      <c r="AB42" s="11" t="str">
        <f>B42</f>
        <v>174.80</v>
      </c>
      <c r="AC42" s="11" t="str">
        <f t="shared" ref="AC42:AC65" si="58">2*AA42-AB42+(0.9/(1-0.9))*(AA42-AB42)</f>
        <v>174.80</v>
      </c>
    </row>
    <row r="43" ht="14.25" customHeight="1">
      <c r="A43" s="6">
        <v>2.0</v>
      </c>
      <c r="B43" s="11" t="str">
        <f>Data!E5</f>
        <v>161.20</v>
      </c>
      <c r="C43" s="11" t="str">
        <f t="shared" ref="C43:D43" si="49">0.1*B43+(1-0.1)*C42</f>
        <v>173.44</v>
      </c>
      <c r="D43" s="11" t="str">
        <f t="shared" si="49"/>
        <v>174.66</v>
      </c>
      <c r="E43" s="11" t="str">
        <f t="shared" si="50"/>
        <v>172.08</v>
      </c>
      <c r="F43" s="11" t="str">
        <f t="shared" ref="F43:F65" si="60">0.2*B43+(1-0.2)*F42</f>
        <v>172.08</v>
      </c>
      <c r="G43" s="11" t="str">
        <f t="shared" ref="G43:G65" si="61">0.2*F43+(1-0.2)*G42</f>
        <v>174.26</v>
      </c>
      <c r="H43" s="11" t="str">
        <f t="shared" si="51"/>
        <v>169.36</v>
      </c>
      <c r="I43" s="11" t="str">
        <f t="shared" ref="I43:I65" si="62">0.3*B43+(1-0.3)*I42</f>
        <v>170.72</v>
      </c>
      <c r="J43" s="11" t="str">
        <f t="shared" ref="J43:J65" si="63">0.3*I43+(1-0.3)*J42</f>
        <v>173.58</v>
      </c>
      <c r="K43" s="11" t="str">
        <f t="shared" si="52"/>
        <v>166.64</v>
      </c>
      <c r="L43" s="11" t="str">
        <f t="shared" ref="L43:L65" si="64">0.4*B43+(1-0.4)*L42</f>
        <v>169.36</v>
      </c>
      <c r="M43" s="11" t="str">
        <f t="shared" ref="M43:M65" si="65">0.4*L43+(1-0.4)*M42</f>
        <v>172.62</v>
      </c>
      <c r="N43" s="11" t="str">
        <f t="shared" si="53"/>
        <v>163.92</v>
      </c>
      <c r="O43" s="11" t="str">
        <f t="shared" ref="O43:O65" si="66">0.5*B43+(1-0.5)*O42</f>
        <v>168.00</v>
      </c>
      <c r="P43" s="11" t="str">
        <f t="shared" ref="P43:P65" si="67">0.5*O43+(1-0.5)*P42</f>
        <v>171.40</v>
      </c>
      <c r="Q43" s="11" t="str">
        <f t="shared" si="54"/>
        <v>161.20</v>
      </c>
      <c r="R43" s="11" t="str">
        <f t="shared" ref="R43:R65" si="68">0.6*B43+(1-0.6)*R42</f>
        <v>166.64</v>
      </c>
      <c r="S43" s="11" t="str">
        <f t="shared" ref="S43:S65" si="69">0.6*R43+(1-0.6)*S42</f>
        <v>169.90</v>
      </c>
      <c r="T43" s="11" t="str">
        <f t="shared" si="55"/>
        <v>158.48</v>
      </c>
      <c r="U43" s="11" t="str">
        <f t="shared" ref="U43:U65" si="70">0.7*B43+(1-0.7)*U42</f>
        <v>165.28</v>
      </c>
      <c r="V43" s="11" t="str">
        <f t="shared" ref="V43:V65" si="71">0.7*U43+(1-0.7)*V42</f>
        <v>168.14</v>
      </c>
      <c r="W43" s="11" t="str">
        <f t="shared" si="56"/>
        <v>155.76</v>
      </c>
      <c r="X43" s="11" t="str">
        <f t="shared" ref="X43:X65" si="72">0.8*B43+(1-0.8)*X42</f>
        <v>163.92</v>
      </c>
      <c r="Y43" s="11" t="str">
        <f t="shared" ref="Y43:Y65" si="73">0.8*X43+(1-0.8)*Y42</f>
        <v>166.10</v>
      </c>
      <c r="Z43" s="11" t="str">
        <f t="shared" si="57"/>
        <v>153.04</v>
      </c>
      <c r="AA43" s="11" t="str">
        <f t="shared" ref="AA43:AA65" si="74">0.9*B43+(1-0.9)*AA42</f>
        <v>162.56</v>
      </c>
      <c r="AB43" s="11" t="str">
        <f t="shared" ref="AB43:AB65" si="75">0.9*AA43+(1-0.9)*AB42</f>
        <v>163.78</v>
      </c>
      <c r="AC43" s="11" t="str">
        <f t="shared" si="58"/>
        <v>150.32</v>
      </c>
    </row>
    <row r="44" ht="14.25" customHeight="1">
      <c r="A44" s="6">
        <v>3.0</v>
      </c>
      <c r="B44" s="11" t="str">
        <f>Data!E6</f>
        <v>166.50</v>
      </c>
      <c r="C44" s="11" t="str">
        <f t="shared" ref="C44:D44" si="59">0.1*B44+(1-0.1)*C43</f>
        <v>172.75</v>
      </c>
      <c r="D44" s="11" t="str">
        <f t="shared" si="59"/>
        <v>174.47</v>
      </c>
      <c r="E44" s="11" t="str">
        <f t="shared" si="50"/>
        <v>170.83</v>
      </c>
      <c r="F44" s="11" t="str">
        <f t="shared" si="60"/>
        <v>170.96</v>
      </c>
      <c r="G44" s="11" t="str">
        <f t="shared" si="61"/>
        <v>173.60</v>
      </c>
      <c r="H44" s="11" t="str">
        <f t="shared" si="51"/>
        <v>167.67</v>
      </c>
      <c r="I44" s="11" t="str">
        <f t="shared" si="62"/>
        <v>169.45</v>
      </c>
      <c r="J44" s="11" t="str">
        <f t="shared" si="63"/>
        <v>172.34</v>
      </c>
      <c r="K44" s="11" t="str">
        <f t="shared" si="52"/>
        <v>165.33</v>
      </c>
      <c r="L44" s="11" t="str">
        <f t="shared" si="64"/>
        <v>168.22</v>
      </c>
      <c r="M44" s="11" t="str">
        <f t="shared" si="65"/>
        <v>170.86</v>
      </c>
      <c r="N44" s="11" t="str">
        <f t="shared" si="53"/>
        <v>163.81</v>
      </c>
      <c r="O44" s="11" t="str">
        <f t="shared" si="66"/>
        <v>167.25</v>
      </c>
      <c r="P44" s="11" t="str">
        <f t="shared" si="67"/>
        <v>169.33</v>
      </c>
      <c r="Q44" s="11" t="str">
        <f t="shared" si="54"/>
        <v>163.10</v>
      </c>
      <c r="R44" s="11" t="str">
        <f t="shared" si="68"/>
        <v>166.56</v>
      </c>
      <c r="S44" s="11" t="str">
        <f t="shared" si="69"/>
        <v>167.90</v>
      </c>
      <c r="T44" s="11" t="str">
        <f t="shared" si="55"/>
        <v>163.21</v>
      </c>
      <c r="U44" s="11" t="str">
        <f t="shared" si="70"/>
        <v>166.13</v>
      </c>
      <c r="V44" s="11" t="str">
        <f t="shared" si="71"/>
        <v>166.73</v>
      </c>
      <c r="W44" s="11" t="str">
        <f t="shared" si="56"/>
        <v>164.13</v>
      </c>
      <c r="X44" s="11" t="str">
        <f t="shared" si="72"/>
        <v>165.98</v>
      </c>
      <c r="Y44" s="11" t="str">
        <f t="shared" si="73"/>
        <v>166.01</v>
      </c>
      <c r="Z44" s="11" t="str">
        <f t="shared" si="57"/>
        <v>165.87</v>
      </c>
      <c r="AA44" s="11" t="str">
        <f t="shared" si="74"/>
        <v>166.11</v>
      </c>
      <c r="AB44" s="11" t="str">
        <f t="shared" si="75"/>
        <v>165.87</v>
      </c>
      <c r="AC44" s="11" t="str">
        <f t="shared" si="58"/>
        <v>168.43</v>
      </c>
    </row>
    <row r="45" ht="14.25" customHeight="1">
      <c r="A45" s="6">
        <v>4.0</v>
      </c>
      <c r="B45" s="11" t="str">
        <f>Data!E7</f>
        <v>165.00</v>
      </c>
      <c r="C45" s="11" t="str">
        <f t="shared" ref="C45:D45" si="76">0.1*B45+(1-0.1)*C44</f>
        <v>171.97</v>
      </c>
      <c r="D45" s="11" t="str">
        <f t="shared" si="76"/>
        <v>174.22</v>
      </c>
      <c r="E45" s="11" t="str">
        <f t="shared" si="50"/>
        <v>169.47</v>
      </c>
      <c r="F45" s="11" t="str">
        <f t="shared" si="60"/>
        <v>169.77</v>
      </c>
      <c r="G45" s="11" t="str">
        <f t="shared" si="61"/>
        <v>172.83</v>
      </c>
      <c r="H45" s="11" t="str">
        <f t="shared" si="51"/>
        <v>165.94</v>
      </c>
      <c r="I45" s="11" t="str">
        <f t="shared" si="62"/>
        <v>168.12</v>
      </c>
      <c r="J45" s="11" t="str">
        <f t="shared" si="63"/>
        <v>171.07</v>
      </c>
      <c r="K45" s="11" t="str">
        <f t="shared" si="52"/>
        <v>163.90</v>
      </c>
      <c r="L45" s="11" t="str">
        <f t="shared" si="64"/>
        <v>166.93</v>
      </c>
      <c r="M45" s="11" t="str">
        <f t="shared" si="65"/>
        <v>169.29</v>
      </c>
      <c r="N45" s="11" t="str">
        <f t="shared" si="53"/>
        <v>163.00</v>
      </c>
      <c r="O45" s="11" t="str">
        <f t="shared" si="66"/>
        <v>166.13</v>
      </c>
      <c r="P45" s="11" t="str">
        <f t="shared" si="67"/>
        <v>167.73</v>
      </c>
      <c r="Q45" s="11" t="str">
        <f t="shared" si="54"/>
        <v>162.93</v>
      </c>
      <c r="R45" s="11" t="str">
        <f t="shared" si="68"/>
        <v>165.62</v>
      </c>
      <c r="S45" s="11" t="str">
        <f t="shared" si="69"/>
        <v>166.53</v>
      </c>
      <c r="T45" s="11" t="str">
        <f t="shared" si="55"/>
        <v>163.35</v>
      </c>
      <c r="U45" s="11" t="str">
        <f t="shared" si="70"/>
        <v>165.34</v>
      </c>
      <c r="V45" s="11" t="str">
        <f t="shared" si="71"/>
        <v>165.76</v>
      </c>
      <c r="W45" s="11" t="str">
        <f t="shared" si="56"/>
        <v>163.95</v>
      </c>
      <c r="X45" s="11" t="str">
        <f t="shared" si="72"/>
        <v>165.20</v>
      </c>
      <c r="Y45" s="11" t="str">
        <f t="shared" si="73"/>
        <v>165.36</v>
      </c>
      <c r="Z45" s="11" t="str">
        <f t="shared" si="57"/>
        <v>164.39</v>
      </c>
      <c r="AA45" s="11" t="str">
        <f t="shared" si="74"/>
        <v>165.11</v>
      </c>
      <c r="AB45" s="11" t="str">
        <f t="shared" si="75"/>
        <v>165.19</v>
      </c>
      <c r="AC45" s="11" t="str">
        <f t="shared" si="58"/>
        <v>164.35</v>
      </c>
    </row>
    <row r="46" ht="14.25" customHeight="1">
      <c r="A46" s="6">
        <v>5.0</v>
      </c>
      <c r="B46" s="11" t="str">
        <f>Data!E8</f>
        <v>170.10</v>
      </c>
      <c r="C46" s="11" t="str">
        <f t="shared" ref="C46:D46" si="77">0.1*B46+(1-0.1)*C45</f>
        <v>171.78</v>
      </c>
      <c r="D46" s="11" t="str">
        <f t="shared" si="77"/>
        <v>173.98</v>
      </c>
      <c r="E46" s="11" t="str">
        <f t="shared" si="50"/>
        <v>169.35</v>
      </c>
      <c r="F46" s="11" t="str">
        <f t="shared" si="60"/>
        <v>169.84</v>
      </c>
      <c r="G46" s="11" t="str">
        <f t="shared" si="61"/>
        <v>172.23</v>
      </c>
      <c r="H46" s="11" t="str">
        <f t="shared" si="51"/>
        <v>166.84</v>
      </c>
      <c r="I46" s="11" t="str">
        <f t="shared" si="62"/>
        <v>168.71</v>
      </c>
      <c r="J46" s="11" t="str">
        <f t="shared" si="63"/>
        <v>170.36</v>
      </c>
      <c r="K46" s="11" t="str">
        <f t="shared" si="52"/>
        <v>166.35</v>
      </c>
      <c r="L46" s="11" t="str">
        <f t="shared" si="64"/>
        <v>168.20</v>
      </c>
      <c r="M46" s="11" t="str">
        <f t="shared" si="65"/>
        <v>168.85</v>
      </c>
      <c r="N46" s="11" t="str">
        <f t="shared" si="53"/>
        <v>167.11</v>
      </c>
      <c r="O46" s="11" t="str">
        <f t="shared" si="66"/>
        <v>168.11</v>
      </c>
      <c r="P46" s="11" t="str">
        <f t="shared" si="67"/>
        <v>167.92</v>
      </c>
      <c r="Q46" s="11" t="str">
        <f t="shared" si="54"/>
        <v>168.50</v>
      </c>
      <c r="R46" s="11" t="str">
        <f t="shared" si="68"/>
        <v>168.31</v>
      </c>
      <c r="S46" s="11" t="str">
        <f t="shared" si="69"/>
        <v>167.60</v>
      </c>
      <c r="T46" s="11" t="str">
        <f t="shared" si="55"/>
        <v>170.09</v>
      </c>
      <c r="U46" s="11" t="str">
        <f t="shared" si="70"/>
        <v>168.67</v>
      </c>
      <c r="V46" s="11" t="str">
        <f t="shared" si="71"/>
        <v>167.80</v>
      </c>
      <c r="W46" s="11" t="str">
        <f t="shared" si="56"/>
        <v>171.59</v>
      </c>
      <c r="X46" s="11" t="str">
        <f t="shared" si="72"/>
        <v>169.12</v>
      </c>
      <c r="Y46" s="11" t="str">
        <f t="shared" si="73"/>
        <v>168.37</v>
      </c>
      <c r="Z46" s="11" t="str">
        <f t="shared" si="57"/>
        <v>172.88</v>
      </c>
      <c r="AA46" s="11" t="str">
        <f t="shared" si="74"/>
        <v>169.60</v>
      </c>
      <c r="AB46" s="11" t="str">
        <f t="shared" si="75"/>
        <v>169.16</v>
      </c>
      <c r="AC46" s="11" t="str">
        <f t="shared" si="58"/>
        <v>174.02</v>
      </c>
    </row>
    <row r="47" ht="14.25" customHeight="1">
      <c r="A47" s="6">
        <v>6.0</v>
      </c>
      <c r="B47" s="11" t="str">
        <f>Data!E9</f>
        <v>165.90</v>
      </c>
      <c r="C47" s="11" t="str">
        <f t="shared" ref="C47:D47" si="78">0.1*B47+(1-0.1)*C46</f>
        <v>171.20</v>
      </c>
      <c r="D47" s="11" t="str">
        <f t="shared" si="78"/>
        <v>173.70</v>
      </c>
      <c r="E47" s="11" t="str">
        <f t="shared" si="50"/>
        <v>168.41</v>
      </c>
      <c r="F47" s="11" t="str">
        <f t="shared" si="60"/>
        <v>169.05</v>
      </c>
      <c r="G47" s="11" t="str">
        <f t="shared" si="61"/>
        <v>171.60</v>
      </c>
      <c r="H47" s="11" t="str">
        <f t="shared" si="51"/>
        <v>165.87</v>
      </c>
      <c r="I47" s="11" t="str">
        <f t="shared" si="62"/>
        <v>167.87</v>
      </c>
      <c r="J47" s="11" t="str">
        <f t="shared" si="63"/>
        <v>169.62</v>
      </c>
      <c r="K47" s="11" t="str">
        <f t="shared" si="52"/>
        <v>165.37</v>
      </c>
      <c r="L47" s="11" t="str">
        <f t="shared" si="64"/>
        <v>167.28</v>
      </c>
      <c r="M47" s="11" t="str">
        <f t="shared" si="65"/>
        <v>168.22</v>
      </c>
      <c r="N47" s="11" t="str">
        <f t="shared" si="53"/>
        <v>165.71</v>
      </c>
      <c r="O47" s="11" t="str">
        <f t="shared" si="66"/>
        <v>167.01</v>
      </c>
      <c r="P47" s="11" t="str">
        <f t="shared" si="67"/>
        <v>167.46</v>
      </c>
      <c r="Q47" s="11" t="str">
        <f t="shared" si="54"/>
        <v>166.09</v>
      </c>
      <c r="R47" s="11" t="str">
        <f t="shared" si="68"/>
        <v>166.86</v>
      </c>
      <c r="S47" s="11" t="str">
        <f t="shared" si="69"/>
        <v>167.16</v>
      </c>
      <c r="T47" s="11" t="str">
        <f t="shared" si="55"/>
        <v>166.13</v>
      </c>
      <c r="U47" s="11" t="str">
        <f t="shared" si="70"/>
        <v>166.73</v>
      </c>
      <c r="V47" s="11" t="str">
        <f t="shared" si="71"/>
        <v>167.05</v>
      </c>
      <c r="W47" s="11" t="str">
        <f t="shared" si="56"/>
        <v>165.67</v>
      </c>
      <c r="X47" s="11" t="str">
        <f t="shared" si="72"/>
        <v>166.54</v>
      </c>
      <c r="Y47" s="11" t="str">
        <f t="shared" si="73"/>
        <v>166.91</v>
      </c>
      <c r="Z47" s="11" t="str">
        <f t="shared" si="57"/>
        <v>164.72</v>
      </c>
      <c r="AA47" s="11" t="str">
        <f t="shared" si="74"/>
        <v>166.27</v>
      </c>
      <c r="AB47" s="11" t="str">
        <f t="shared" si="75"/>
        <v>166.56</v>
      </c>
      <c r="AC47" s="11" t="str">
        <f t="shared" si="58"/>
        <v>163.38</v>
      </c>
    </row>
    <row r="48" ht="14.25" customHeight="1">
      <c r="A48" s="6">
        <v>7.0</v>
      </c>
      <c r="B48" s="11" t="str">
        <f>Data!E10</f>
        <v>161.90</v>
      </c>
      <c r="C48" s="11" t="str">
        <f t="shared" ref="C48:D48" si="79">0.1*B48+(1-0.1)*C47</f>
        <v>170.27</v>
      </c>
      <c r="D48" s="11" t="str">
        <f t="shared" si="79"/>
        <v>173.36</v>
      </c>
      <c r="E48" s="11" t="str">
        <f t="shared" si="50"/>
        <v>166.83</v>
      </c>
      <c r="F48" s="11" t="str">
        <f t="shared" si="60"/>
        <v>167.62</v>
      </c>
      <c r="G48" s="11" t="str">
        <f t="shared" si="61"/>
        <v>170.80</v>
      </c>
      <c r="H48" s="11" t="str">
        <f t="shared" si="51"/>
        <v>163.64</v>
      </c>
      <c r="I48" s="11" t="str">
        <f t="shared" si="62"/>
        <v>166.08</v>
      </c>
      <c r="J48" s="11" t="str">
        <f t="shared" si="63"/>
        <v>168.55</v>
      </c>
      <c r="K48" s="11" t="str">
        <f t="shared" si="52"/>
        <v>162.54</v>
      </c>
      <c r="L48" s="11" t="str">
        <f t="shared" si="64"/>
        <v>165.13</v>
      </c>
      <c r="M48" s="11" t="str">
        <f t="shared" si="65"/>
        <v>166.98</v>
      </c>
      <c r="N48" s="11" t="str">
        <f t="shared" si="53"/>
        <v>162.03</v>
      </c>
      <c r="O48" s="11" t="str">
        <f t="shared" si="66"/>
        <v>164.45</v>
      </c>
      <c r="P48" s="11" t="str">
        <f t="shared" si="67"/>
        <v>165.96</v>
      </c>
      <c r="Q48" s="11" t="str">
        <f t="shared" si="54"/>
        <v>161.44</v>
      </c>
      <c r="R48" s="11" t="str">
        <f t="shared" si="68"/>
        <v>163.89</v>
      </c>
      <c r="S48" s="11" t="str">
        <f t="shared" si="69"/>
        <v>165.19</v>
      </c>
      <c r="T48" s="11" t="str">
        <f t="shared" si="55"/>
        <v>160.61</v>
      </c>
      <c r="U48" s="11" t="str">
        <f t="shared" si="70"/>
        <v>163.35</v>
      </c>
      <c r="V48" s="11" t="str">
        <f t="shared" si="71"/>
        <v>164.46</v>
      </c>
      <c r="W48" s="11" t="str">
        <f t="shared" si="56"/>
        <v>159.65</v>
      </c>
      <c r="X48" s="11" t="str">
        <f t="shared" si="72"/>
        <v>162.83</v>
      </c>
      <c r="Y48" s="11" t="str">
        <f t="shared" si="73"/>
        <v>163.64</v>
      </c>
      <c r="Z48" s="11" t="str">
        <f t="shared" si="57"/>
        <v>158.75</v>
      </c>
      <c r="AA48" s="11" t="str">
        <f t="shared" si="74"/>
        <v>162.34</v>
      </c>
      <c r="AB48" s="11" t="str">
        <f t="shared" si="75"/>
        <v>162.76</v>
      </c>
      <c r="AC48" s="11" t="str">
        <f t="shared" si="58"/>
        <v>158.11</v>
      </c>
    </row>
    <row r="49" ht="14.25" customHeight="1">
      <c r="A49" s="6">
        <v>8.0</v>
      </c>
      <c r="B49" s="11" t="str">
        <f>Data!E11</f>
        <v>163.10</v>
      </c>
      <c r="C49" s="11" t="str">
        <f t="shared" ref="C49:D49" si="80">0.1*B49+(1-0.1)*C48</f>
        <v>169.55</v>
      </c>
      <c r="D49" s="11" t="str">
        <f t="shared" si="80"/>
        <v>172.98</v>
      </c>
      <c r="E49" s="11" t="str">
        <f t="shared" si="50"/>
        <v>165.74</v>
      </c>
      <c r="F49" s="11" t="str">
        <f t="shared" si="60"/>
        <v>166.72</v>
      </c>
      <c r="G49" s="11" t="str">
        <f t="shared" si="61"/>
        <v>169.98</v>
      </c>
      <c r="H49" s="11" t="str">
        <f t="shared" si="51"/>
        <v>162.63</v>
      </c>
      <c r="I49" s="11" t="str">
        <f t="shared" si="62"/>
        <v>165.18</v>
      </c>
      <c r="J49" s="11" t="str">
        <f t="shared" si="63"/>
        <v>167.54</v>
      </c>
      <c r="K49" s="11" t="str">
        <f t="shared" si="52"/>
        <v>161.81</v>
      </c>
      <c r="L49" s="11" t="str">
        <f t="shared" si="64"/>
        <v>164.32</v>
      </c>
      <c r="M49" s="11" t="str">
        <f t="shared" si="65"/>
        <v>165.92</v>
      </c>
      <c r="N49" s="11" t="str">
        <f t="shared" si="53"/>
        <v>161.65</v>
      </c>
      <c r="O49" s="11" t="str">
        <f t="shared" si="66"/>
        <v>163.78</v>
      </c>
      <c r="P49" s="11" t="str">
        <f t="shared" si="67"/>
        <v>164.87</v>
      </c>
      <c r="Q49" s="11" t="str">
        <f t="shared" si="54"/>
        <v>161.60</v>
      </c>
      <c r="R49" s="11" t="str">
        <f t="shared" si="68"/>
        <v>163.41</v>
      </c>
      <c r="S49" s="11" t="str">
        <f t="shared" si="69"/>
        <v>164.13</v>
      </c>
      <c r="T49" s="11" t="str">
        <f t="shared" si="55"/>
        <v>161.63</v>
      </c>
      <c r="U49" s="11" t="str">
        <f t="shared" si="70"/>
        <v>163.17</v>
      </c>
      <c r="V49" s="11" t="str">
        <f t="shared" si="71"/>
        <v>163.56</v>
      </c>
      <c r="W49" s="11" t="str">
        <f t="shared" si="56"/>
        <v>161.89</v>
      </c>
      <c r="X49" s="11" t="str">
        <f t="shared" si="72"/>
        <v>163.05</v>
      </c>
      <c r="Y49" s="11" t="str">
        <f t="shared" si="73"/>
        <v>163.17</v>
      </c>
      <c r="Z49" s="11" t="str">
        <f t="shared" si="57"/>
        <v>162.45</v>
      </c>
      <c r="AA49" s="11" t="str">
        <f t="shared" si="74"/>
        <v>163.02</v>
      </c>
      <c r="AB49" s="11" t="str">
        <f t="shared" si="75"/>
        <v>163.00</v>
      </c>
      <c r="AC49" s="11" t="str">
        <f t="shared" si="58"/>
        <v>163.29</v>
      </c>
    </row>
    <row r="50" ht="14.25" customHeight="1">
      <c r="A50" s="6">
        <v>9.0</v>
      </c>
      <c r="B50" s="11" t="str">
        <f>Data!E12</f>
        <v>168.40</v>
      </c>
      <c r="C50" s="11" t="str">
        <f t="shared" ref="C50:D50" si="81">0.1*B50+(1-0.1)*C49</f>
        <v>169.43</v>
      </c>
      <c r="D50" s="11" t="str">
        <f t="shared" si="81"/>
        <v>172.62</v>
      </c>
      <c r="E50" s="11" t="str">
        <f t="shared" si="50"/>
        <v>165.89</v>
      </c>
      <c r="F50" s="11" t="str">
        <f t="shared" si="60"/>
        <v>167.05</v>
      </c>
      <c r="G50" s="11" t="str">
        <f t="shared" si="61"/>
        <v>169.40</v>
      </c>
      <c r="H50" s="11" t="str">
        <f t="shared" si="51"/>
        <v>164.12</v>
      </c>
      <c r="I50" s="11" t="str">
        <f t="shared" si="62"/>
        <v>166.15</v>
      </c>
      <c r="J50" s="11" t="str">
        <f t="shared" si="63"/>
        <v>167.13</v>
      </c>
      <c r="K50" s="11" t="str">
        <f t="shared" si="52"/>
        <v>164.75</v>
      </c>
      <c r="L50" s="11" t="str">
        <f t="shared" si="64"/>
        <v>165.95</v>
      </c>
      <c r="M50" s="11" t="str">
        <f t="shared" si="65"/>
        <v>165.93</v>
      </c>
      <c r="N50" s="11" t="str">
        <f t="shared" si="53"/>
        <v>165.98</v>
      </c>
      <c r="O50" s="11" t="str">
        <f t="shared" si="66"/>
        <v>166.09</v>
      </c>
      <c r="P50" s="11" t="str">
        <f t="shared" si="67"/>
        <v>165.48</v>
      </c>
      <c r="Q50" s="11" t="str">
        <f t="shared" si="54"/>
        <v>167.31</v>
      </c>
      <c r="R50" s="11" t="str">
        <f t="shared" si="68"/>
        <v>166.41</v>
      </c>
      <c r="S50" s="11" t="str">
        <f t="shared" si="69"/>
        <v>165.49</v>
      </c>
      <c r="T50" s="11" t="str">
        <f t="shared" si="55"/>
        <v>168.69</v>
      </c>
      <c r="U50" s="11" t="str">
        <f t="shared" si="70"/>
        <v>166.83</v>
      </c>
      <c r="V50" s="11" t="str">
        <f t="shared" si="71"/>
        <v>165.85</v>
      </c>
      <c r="W50" s="11" t="str">
        <f t="shared" si="56"/>
        <v>170.10</v>
      </c>
      <c r="X50" s="11" t="str">
        <f t="shared" si="72"/>
        <v>167.33</v>
      </c>
      <c r="Y50" s="11" t="str">
        <f t="shared" si="73"/>
        <v>166.50</v>
      </c>
      <c r="Z50" s="11" t="str">
        <f t="shared" si="57"/>
        <v>171.49</v>
      </c>
      <c r="AA50" s="11" t="str">
        <f t="shared" si="74"/>
        <v>167.86</v>
      </c>
      <c r="AB50" s="11" t="str">
        <f t="shared" si="75"/>
        <v>167.38</v>
      </c>
      <c r="AC50" s="11" t="str">
        <f t="shared" si="58"/>
        <v>172.73</v>
      </c>
    </row>
    <row r="51" ht="14.25" customHeight="1">
      <c r="A51" s="6">
        <v>10.0</v>
      </c>
      <c r="B51" s="11" t="str">
        <f>Data!E13</f>
        <v>168.30</v>
      </c>
      <c r="C51" s="11" t="str">
        <f t="shared" ref="C51:D51" si="82">0.1*B51+(1-0.1)*C50</f>
        <v>169.32</v>
      </c>
      <c r="D51" s="11" t="str">
        <f t="shared" si="82"/>
        <v>172.29</v>
      </c>
      <c r="E51" s="11" t="str">
        <f t="shared" si="50"/>
        <v>166.02</v>
      </c>
      <c r="F51" s="11" t="str">
        <f t="shared" si="60"/>
        <v>167.30</v>
      </c>
      <c r="G51" s="11" t="str">
        <f t="shared" si="61"/>
        <v>168.98</v>
      </c>
      <c r="H51" s="11" t="str">
        <f t="shared" si="51"/>
        <v>165.21</v>
      </c>
      <c r="I51" s="11" t="str">
        <f t="shared" si="62"/>
        <v>166.79</v>
      </c>
      <c r="J51" s="11" t="str">
        <f t="shared" si="63"/>
        <v>167.03</v>
      </c>
      <c r="K51" s="11" t="str">
        <f t="shared" si="52"/>
        <v>166.46</v>
      </c>
      <c r="L51" s="11" t="str">
        <f t="shared" si="64"/>
        <v>166.89</v>
      </c>
      <c r="M51" s="11" t="str">
        <f t="shared" si="65"/>
        <v>166.31</v>
      </c>
      <c r="N51" s="11" t="str">
        <f t="shared" si="53"/>
        <v>167.85</v>
      </c>
      <c r="O51" s="11" t="str">
        <f t="shared" si="66"/>
        <v>167.19</v>
      </c>
      <c r="P51" s="11" t="str">
        <f t="shared" si="67"/>
        <v>166.34</v>
      </c>
      <c r="Q51" s="11" t="str">
        <f t="shared" si="54"/>
        <v>168.91</v>
      </c>
      <c r="R51" s="11" t="str">
        <f t="shared" si="68"/>
        <v>167.54</v>
      </c>
      <c r="S51" s="11" t="str">
        <f t="shared" si="69"/>
        <v>166.72</v>
      </c>
      <c r="T51" s="11" t="str">
        <f t="shared" si="55"/>
        <v>169.59</v>
      </c>
      <c r="U51" s="11" t="str">
        <f t="shared" si="70"/>
        <v>167.86</v>
      </c>
      <c r="V51" s="11" t="str">
        <f t="shared" si="71"/>
        <v>167.26</v>
      </c>
      <c r="W51" s="11" t="str">
        <f t="shared" si="56"/>
        <v>169.87</v>
      </c>
      <c r="X51" s="11" t="str">
        <f t="shared" si="72"/>
        <v>168.11</v>
      </c>
      <c r="Y51" s="11" t="str">
        <f t="shared" si="73"/>
        <v>167.78</v>
      </c>
      <c r="Z51" s="11" t="str">
        <f t="shared" si="57"/>
        <v>169.72</v>
      </c>
      <c r="AA51" s="11" t="str">
        <f t="shared" si="74"/>
        <v>168.26</v>
      </c>
      <c r="AB51" s="11" t="str">
        <f t="shared" si="75"/>
        <v>168.17</v>
      </c>
      <c r="AC51" s="11" t="str">
        <f t="shared" si="58"/>
        <v>169.14</v>
      </c>
    </row>
    <row r="52" ht="14.25" customHeight="1">
      <c r="A52" s="6">
        <v>11.0</v>
      </c>
      <c r="B52" s="11" t="str">
        <f>Data!E14</f>
        <v>163.90</v>
      </c>
      <c r="C52" s="11" t="str">
        <f t="shared" ref="C52:D52" si="83">0.1*B52+(1-0.1)*C51</f>
        <v>168.78</v>
      </c>
      <c r="D52" s="11" t="str">
        <f t="shared" si="83"/>
        <v>171.94</v>
      </c>
      <c r="E52" s="11" t="str">
        <f t="shared" si="50"/>
        <v>165.27</v>
      </c>
      <c r="F52" s="11" t="str">
        <f t="shared" si="60"/>
        <v>166.62</v>
      </c>
      <c r="G52" s="11" t="str">
        <f t="shared" si="61"/>
        <v>168.51</v>
      </c>
      <c r="H52" s="11" t="str">
        <f t="shared" si="51"/>
        <v>164.26</v>
      </c>
      <c r="I52" s="11" t="str">
        <f t="shared" si="62"/>
        <v>165.93</v>
      </c>
      <c r="J52" s="11" t="str">
        <f t="shared" si="63"/>
        <v>166.70</v>
      </c>
      <c r="K52" s="11" t="str">
        <f t="shared" si="52"/>
        <v>164.83</v>
      </c>
      <c r="L52" s="11" t="str">
        <f t="shared" si="64"/>
        <v>165.69</v>
      </c>
      <c r="M52" s="11" t="str">
        <f t="shared" si="65"/>
        <v>166.07</v>
      </c>
      <c r="N52" s="11" t="str">
        <f t="shared" si="53"/>
        <v>165.07</v>
      </c>
      <c r="O52" s="11" t="str">
        <f t="shared" si="66"/>
        <v>165.55</v>
      </c>
      <c r="P52" s="11" t="str">
        <f t="shared" si="67"/>
        <v>165.94</v>
      </c>
      <c r="Q52" s="11" t="str">
        <f t="shared" si="54"/>
        <v>164.76</v>
      </c>
      <c r="R52" s="11" t="str">
        <f t="shared" si="68"/>
        <v>165.36</v>
      </c>
      <c r="S52" s="11" t="str">
        <f t="shared" si="69"/>
        <v>165.90</v>
      </c>
      <c r="T52" s="11" t="str">
        <f t="shared" si="55"/>
        <v>163.99</v>
      </c>
      <c r="U52" s="11" t="str">
        <f t="shared" si="70"/>
        <v>165.09</v>
      </c>
      <c r="V52" s="11" t="str">
        <f t="shared" si="71"/>
        <v>165.74</v>
      </c>
      <c r="W52" s="11" t="str">
        <f t="shared" si="56"/>
        <v>162.92</v>
      </c>
      <c r="X52" s="11" t="str">
        <f t="shared" si="72"/>
        <v>164.74</v>
      </c>
      <c r="Y52" s="11" t="str">
        <f t="shared" si="73"/>
        <v>165.35</v>
      </c>
      <c r="Z52" s="11" t="str">
        <f t="shared" si="57"/>
        <v>161.70</v>
      </c>
      <c r="AA52" s="11" t="str">
        <f t="shared" si="74"/>
        <v>164.34</v>
      </c>
      <c r="AB52" s="11" t="str">
        <f t="shared" si="75"/>
        <v>164.72</v>
      </c>
      <c r="AC52" s="11" t="str">
        <f t="shared" si="58"/>
        <v>160.50</v>
      </c>
    </row>
    <row r="53" ht="14.25" customHeight="1">
      <c r="A53" s="6">
        <v>12.0</v>
      </c>
      <c r="B53" s="11" t="str">
        <f>Data!E15</f>
        <v>172.60</v>
      </c>
      <c r="C53" s="11" t="str">
        <f t="shared" ref="C53:D53" si="84">0.1*B53+(1-0.1)*C52</f>
        <v>169.16</v>
      </c>
      <c r="D53" s="11" t="str">
        <f t="shared" si="84"/>
        <v>171.66</v>
      </c>
      <c r="E53" s="11" t="str">
        <f t="shared" si="50"/>
        <v>166.38</v>
      </c>
      <c r="F53" s="11" t="str">
        <f t="shared" si="60"/>
        <v>167.82</v>
      </c>
      <c r="G53" s="11" t="str">
        <f t="shared" si="61"/>
        <v>168.37</v>
      </c>
      <c r="H53" s="11" t="str">
        <f t="shared" si="51"/>
        <v>167.13</v>
      </c>
      <c r="I53" s="11" t="str">
        <f t="shared" si="62"/>
        <v>167.93</v>
      </c>
      <c r="J53" s="11" t="str">
        <f t="shared" si="63"/>
        <v>167.07</v>
      </c>
      <c r="K53" s="11" t="str">
        <f t="shared" si="52"/>
        <v>169.16</v>
      </c>
      <c r="L53" s="11" t="str">
        <f t="shared" si="64"/>
        <v>168.46</v>
      </c>
      <c r="M53" s="11" t="str">
        <f t="shared" si="65"/>
        <v>167.02</v>
      </c>
      <c r="N53" s="11" t="str">
        <f t="shared" si="53"/>
        <v>170.85</v>
      </c>
      <c r="O53" s="11" t="str">
        <f t="shared" si="66"/>
        <v>169.07</v>
      </c>
      <c r="P53" s="11" t="str">
        <f t="shared" si="67"/>
        <v>167.51</v>
      </c>
      <c r="Q53" s="11" t="str">
        <f t="shared" si="54"/>
        <v>172.21</v>
      </c>
      <c r="R53" s="11" t="str">
        <f t="shared" si="68"/>
        <v>169.70</v>
      </c>
      <c r="S53" s="11" t="str">
        <f t="shared" si="69"/>
        <v>168.18</v>
      </c>
      <c r="T53" s="11" t="str">
        <f t="shared" si="55"/>
        <v>173.50</v>
      </c>
      <c r="U53" s="11" t="str">
        <f t="shared" si="70"/>
        <v>170.35</v>
      </c>
      <c r="V53" s="11" t="str">
        <f t="shared" si="71"/>
        <v>168.96</v>
      </c>
      <c r="W53" s="11" t="str">
        <f t="shared" si="56"/>
        <v>174.95</v>
      </c>
      <c r="X53" s="11" t="str">
        <f t="shared" si="72"/>
        <v>171.03</v>
      </c>
      <c r="Y53" s="11" t="str">
        <f t="shared" si="73"/>
        <v>169.89</v>
      </c>
      <c r="Z53" s="11" t="str">
        <f t="shared" si="57"/>
        <v>176.71</v>
      </c>
      <c r="AA53" s="11" t="str">
        <f t="shared" si="74"/>
        <v>171.77</v>
      </c>
      <c r="AB53" s="11" t="str">
        <f t="shared" si="75"/>
        <v>171.07</v>
      </c>
      <c r="AC53" s="11" t="str">
        <f t="shared" si="58"/>
        <v>178.83</v>
      </c>
    </row>
    <row r="54" ht="14.25" customHeight="1">
      <c r="A54" s="6">
        <v>13.0</v>
      </c>
      <c r="B54" s="11" t="str">
        <f>Data!E16</f>
        <v>173.40</v>
      </c>
      <c r="C54" s="11" t="str">
        <f t="shared" ref="C54:D54" si="85">0.1*B54+(1-0.1)*C53</f>
        <v>169.59</v>
      </c>
      <c r="D54" s="11" t="str">
        <f t="shared" si="85"/>
        <v>171.45</v>
      </c>
      <c r="E54" s="11" t="str">
        <f t="shared" si="50"/>
        <v>167.51</v>
      </c>
      <c r="F54" s="11" t="str">
        <f t="shared" si="60"/>
        <v>168.93</v>
      </c>
      <c r="G54" s="11" t="str">
        <f t="shared" si="61"/>
        <v>168.48</v>
      </c>
      <c r="H54" s="11" t="str">
        <f t="shared" si="51"/>
        <v>169.50</v>
      </c>
      <c r="I54" s="11" t="str">
        <f t="shared" si="62"/>
        <v>169.57</v>
      </c>
      <c r="J54" s="11" t="str">
        <f t="shared" si="63"/>
        <v>167.82</v>
      </c>
      <c r="K54" s="11" t="str">
        <f t="shared" si="52"/>
        <v>172.07</v>
      </c>
      <c r="L54" s="11" t="str">
        <f t="shared" si="64"/>
        <v>170.43</v>
      </c>
      <c r="M54" s="11" t="str">
        <f t="shared" si="65"/>
        <v>168.39</v>
      </c>
      <c r="N54" s="11" t="str">
        <f t="shared" si="53"/>
        <v>173.85</v>
      </c>
      <c r="O54" s="11" t="str">
        <f t="shared" si="66"/>
        <v>171.24</v>
      </c>
      <c r="P54" s="11" t="str">
        <f t="shared" si="67"/>
        <v>169.37</v>
      </c>
      <c r="Q54" s="11" t="str">
        <f t="shared" si="54"/>
        <v>174.97</v>
      </c>
      <c r="R54" s="11" t="str">
        <f t="shared" si="68"/>
        <v>171.92</v>
      </c>
      <c r="S54" s="11" t="str">
        <f t="shared" si="69"/>
        <v>170.43</v>
      </c>
      <c r="T54" s="11" t="str">
        <f t="shared" si="55"/>
        <v>175.66</v>
      </c>
      <c r="U54" s="11" t="str">
        <f t="shared" si="70"/>
        <v>172.48</v>
      </c>
      <c r="V54" s="11" t="str">
        <f t="shared" si="71"/>
        <v>171.43</v>
      </c>
      <c r="W54" s="11" t="str">
        <f t="shared" si="56"/>
        <v>176.00</v>
      </c>
      <c r="X54" s="11" t="str">
        <f t="shared" si="72"/>
        <v>172.93</v>
      </c>
      <c r="Y54" s="11" t="str">
        <f t="shared" si="73"/>
        <v>172.32</v>
      </c>
      <c r="Z54" s="11" t="str">
        <f t="shared" si="57"/>
        <v>175.96</v>
      </c>
      <c r="AA54" s="11" t="str">
        <f t="shared" si="74"/>
        <v>173.24</v>
      </c>
      <c r="AB54" s="11" t="str">
        <f t="shared" si="75"/>
        <v>173.02</v>
      </c>
      <c r="AC54" s="11" t="str">
        <f t="shared" si="58"/>
        <v>175.41</v>
      </c>
    </row>
    <row r="55" ht="14.25" customHeight="1">
      <c r="A55" s="6">
        <v>14.0</v>
      </c>
      <c r="B55" s="11" t="str">
        <f>Data!E17</f>
        <v>170.50</v>
      </c>
      <c r="C55" s="11" t="str">
        <f t="shared" ref="C55:D55" si="86">0.1*B55+(1-0.1)*C54</f>
        <v>169.68</v>
      </c>
      <c r="D55" s="11" t="str">
        <f t="shared" si="86"/>
        <v>171.28</v>
      </c>
      <c r="E55" s="11" t="str">
        <f t="shared" si="50"/>
        <v>167.90</v>
      </c>
      <c r="F55" s="11" t="str">
        <f t="shared" si="60"/>
        <v>169.25</v>
      </c>
      <c r="G55" s="11" t="str">
        <f t="shared" si="61"/>
        <v>168.64</v>
      </c>
      <c r="H55" s="11" t="str">
        <f t="shared" si="51"/>
        <v>170.01</v>
      </c>
      <c r="I55" s="11" t="str">
        <f t="shared" si="62"/>
        <v>169.85</v>
      </c>
      <c r="J55" s="11" t="str">
        <f t="shared" si="63"/>
        <v>168.43</v>
      </c>
      <c r="K55" s="11" t="str">
        <f t="shared" si="52"/>
        <v>171.88</v>
      </c>
      <c r="L55" s="11" t="str">
        <f t="shared" si="64"/>
        <v>170.46</v>
      </c>
      <c r="M55" s="11" t="str">
        <f t="shared" si="65"/>
        <v>169.22</v>
      </c>
      <c r="N55" s="11" t="str">
        <f t="shared" si="53"/>
        <v>172.53</v>
      </c>
      <c r="O55" s="11" t="str">
        <f t="shared" si="66"/>
        <v>170.87</v>
      </c>
      <c r="P55" s="11" t="str">
        <f t="shared" si="67"/>
        <v>170.12</v>
      </c>
      <c r="Q55" s="11" t="str">
        <f t="shared" si="54"/>
        <v>172.36</v>
      </c>
      <c r="R55" s="11" t="str">
        <f t="shared" si="68"/>
        <v>171.07</v>
      </c>
      <c r="S55" s="11" t="str">
        <f t="shared" si="69"/>
        <v>170.81</v>
      </c>
      <c r="T55" s="11" t="str">
        <f t="shared" si="55"/>
        <v>171.71</v>
      </c>
      <c r="U55" s="11" t="str">
        <f t="shared" si="70"/>
        <v>171.10</v>
      </c>
      <c r="V55" s="11" t="str">
        <f t="shared" si="71"/>
        <v>171.20</v>
      </c>
      <c r="W55" s="11" t="str">
        <f t="shared" si="56"/>
        <v>170.76</v>
      </c>
      <c r="X55" s="11" t="str">
        <f t="shared" si="72"/>
        <v>170.99</v>
      </c>
      <c r="Y55" s="11" t="str">
        <f t="shared" si="73"/>
        <v>171.25</v>
      </c>
      <c r="Z55" s="11" t="str">
        <f t="shared" si="57"/>
        <v>169.65</v>
      </c>
      <c r="AA55" s="11" t="str">
        <f t="shared" si="74"/>
        <v>170.77</v>
      </c>
      <c r="AB55" s="11" t="str">
        <f t="shared" si="75"/>
        <v>171.00</v>
      </c>
      <c r="AC55" s="11" t="str">
        <f t="shared" si="58"/>
        <v>168.53</v>
      </c>
    </row>
    <row r="56" ht="14.25" customHeight="1">
      <c r="A56" s="6">
        <v>15.0</v>
      </c>
      <c r="B56" s="11" t="str">
        <f>Data!E18</f>
        <v>175.50</v>
      </c>
      <c r="C56" s="11" t="str">
        <f t="shared" ref="C56:D56" si="87">0.1*B56+(1-0.1)*C55</f>
        <v>170.26</v>
      </c>
      <c r="D56" s="11" t="str">
        <f t="shared" si="87"/>
        <v>171.18</v>
      </c>
      <c r="E56" s="11" t="str">
        <f t="shared" si="50"/>
        <v>169.24</v>
      </c>
      <c r="F56" s="11" t="str">
        <f t="shared" si="60"/>
        <v>170.50</v>
      </c>
      <c r="G56" s="11" t="str">
        <f t="shared" si="61"/>
        <v>169.01</v>
      </c>
      <c r="H56" s="11" t="str">
        <f t="shared" si="51"/>
        <v>172.36</v>
      </c>
      <c r="I56" s="11" t="str">
        <f t="shared" si="62"/>
        <v>171.54</v>
      </c>
      <c r="J56" s="11" t="str">
        <f t="shared" si="63"/>
        <v>169.36</v>
      </c>
      <c r="K56" s="11" t="str">
        <f t="shared" si="52"/>
        <v>174.66</v>
      </c>
      <c r="L56" s="11" t="str">
        <f t="shared" si="64"/>
        <v>172.48</v>
      </c>
      <c r="M56" s="11" t="str">
        <f t="shared" si="65"/>
        <v>170.52</v>
      </c>
      <c r="N56" s="11" t="str">
        <f t="shared" si="53"/>
        <v>175.74</v>
      </c>
      <c r="O56" s="11" t="str">
        <f t="shared" si="66"/>
        <v>173.18</v>
      </c>
      <c r="P56" s="11" t="str">
        <f t="shared" si="67"/>
        <v>171.65</v>
      </c>
      <c r="Q56" s="11" t="str">
        <f t="shared" si="54"/>
        <v>176.25</v>
      </c>
      <c r="R56" s="11" t="str">
        <f t="shared" si="68"/>
        <v>173.73</v>
      </c>
      <c r="S56" s="11" t="str">
        <f t="shared" si="69"/>
        <v>172.56</v>
      </c>
      <c r="T56" s="11" t="str">
        <f t="shared" si="55"/>
        <v>176.64</v>
      </c>
      <c r="U56" s="11" t="str">
        <f t="shared" si="70"/>
        <v>174.18</v>
      </c>
      <c r="V56" s="11" t="str">
        <f t="shared" si="71"/>
        <v>173.28</v>
      </c>
      <c r="W56" s="11" t="str">
        <f t="shared" si="56"/>
        <v>177.16</v>
      </c>
      <c r="X56" s="11" t="str">
        <f t="shared" si="72"/>
        <v>174.60</v>
      </c>
      <c r="Y56" s="11" t="str">
        <f t="shared" si="73"/>
        <v>173.93</v>
      </c>
      <c r="Z56" s="11" t="str">
        <f t="shared" si="57"/>
        <v>177.94</v>
      </c>
      <c r="AA56" s="11" t="str">
        <f t="shared" si="74"/>
        <v>175.03</v>
      </c>
      <c r="AB56" s="11" t="str">
        <f t="shared" si="75"/>
        <v>174.62</v>
      </c>
      <c r="AC56" s="11" t="str">
        <f t="shared" si="58"/>
        <v>179.06</v>
      </c>
    </row>
    <row r="57" ht="14.25" customHeight="1">
      <c r="A57" s="6">
        <v>16.0</v>
      </c>
      <c r="B57" s="11" t="str">
        <f>Data!E19</f>
        <v>187.00</v>
      </c>
      <c r="C57" s="11" t="str">
        <f t="shared" ref="C57:D57" si="88">0.1*B57+(1-0.1)*C56</f>
        <v>171.93</v>
      </c>
      <c r="D57" s="11" t="str">
        <f t="shared" si="88"/>
        <v>171.25</v>
      </c>
      <c r="E57" s="11" t="str">
        <f t="shared" si="50"/>
        <v>172.69</v>
      </c>
      <c r="F57" s="11" t="str">
        <f t="shared" si="60"/>
        <v>173.80</v>
      </c>
      <c r="G57" s="11" t="str">
        <f t="shared" si="61"/>
        <v>169.97</v>
      </c>
      <c r="H57" s="11" t="str">
        <f t="shared" si="51"/>
        <v>178.59</v>
      </c>
      <c r="I57" s="11" t="str">
        <f t="shared" si="62"/>
        <v>176.18</v>
      </c>
      <c r="J57" s="11" t="str">
        <f t="shared" si="63"/>
        <v>171.41</v>
      </c>
      <c r="K57" s="11" t="str">
        <f t="shared" si="52"/>
        <v>183.00</v>
      </c>
      <c r="L57" s="11" t="str">
        <f t="shared" si="64"/>
        <v>178.29</v>
      </c>
      <c r="M57" s="11" t="str">
        <f t="shared" si="65"/>
        <v>173.63</v>
      </c>
      <c r="N57" s="11" t="str">
        <f t="shared" si="53"/>
        <v>186.05</v>
      </c>
      <c r="O57" s="11" t="str">
        <f t="shared" si="66"/>
        <v>180.09</v>
      </c>
      <c r="P57" s="11" t="str">
        <f t="shared" si="67"/>
        <v>175.87</v>
      </c>
      <c r="Q57" s="11" t="str">
        <f t="shared" si="54"/>
        <v>188.53</v>
      </c>
      <c r="R57" s="11" t="str">
        <f t="shared" si="68"/>
        <v>181.69</v>
      </c>
      <c r="S57" s="11" t="str">
        <f t="shared" si="69"/>
        <v>178.04</v>
      </c>
      <c r="T57" s="11" t="str">
        <f t="shared" si="55"/>
        <v>190.82</v>
      </c>
      <c r="U57" s="11" t="str">
        <f t="shared" si="70"/>
        <v>183.15</v>
      </c>
      <c r="V57" s="11" t="str">
        <f t="shared" si="71"/>
        <v>180.19</v>
      </c>
      <c r="W57" s="11" t="str">
        <f t="shared" si="56"/>
        <v>193.02</v>
      </c>
      <c r="X57" s="11" t="str">
        <f t="shared" si="72"/>
        <v>184.52</v>
      </c>
      <c r="Y57" s="11" t="str">
        <f t="shared" si="73"/>
        <v>182.40</v>
      </c>
      <c r="Z57" s="11" t="str">
        <f t="shared" si="57"/>
        <v>195.11</v>
      </c>
      <c r="AA57" s="11" t="str">
        <f t="shared" si="74"/>
        <v>185.80</v>
      </c>
      <c r="AB57" s="11" t="str">
        <f t="shared" si="75"/>
        <v>184.68</v>
      </c>
      <c r="AC57" s="11" t="str">
        <f t="shared" si="58"/>
        <v>196.98</v>
      </c>
    </row>
    <row r="58" ht="14.25" customHeight="1">
      <c r="A58" s="6">
        <v>17.0</v>
      </c>
      <c r="B58" s="11" t="str">
        <f>Data!E20</f>
        <v>185.50</v>
      </c>
      <c r="C58" s="11" t="str">
        <f t="shared" ref="C58:D58" si="89">0.1*B58+(1-0.1)*C57</f>
        <v>173.29</v>
      </c>
      <c r="D58" s="11" t="str">
        <f t="shared" si="89"/>
        <v>171.45</v>
      </c>
      <c r="E58" s="11" t="str">
        <f t="shared" si="50"/>
        <v>175.33</v>
      </c>
      <c r="F58" s="11" t="str">
        <f t="shared" si="60"/>
        <v>176.14</v>
      </c>
      <c r="G58" s="11" t="str">
        <f t="shared" si="61"/>
        <v>171.20</v>
      </c>
      <c r="H58" s="11" t="str">
        <f t="shared" si="51"/>
        <v>182.31</v>
      </c>
      <c r="I58" s="11" t="str">
        <f t="shared" si="62"/>
        <v>178.98</v>
      </c>
      <c r="J58" s="11" t="str">
        <f t="shared" si="63"/>
        <v>173.68</v>
      </c>
      <c r="K58" s="11" t="str">
        <f t="shared" si="52"/>
        <v>186.55</v>
      </c>
      <c r="L58" s="11" t="str">
        <f t="shared" si="64"/>
        <v>181.17</v>
      </c>
      <c r="M58" s="11" t="str">
        <f t="shared" si="65"/>
        <v>176.64</v>
      </c>
      <c r="N58" s="11" t="str">
        <f t="shared" si="53"/>
        <v>188.72</v>
      </c>
      <c r="O58" s="11" t="str">
        <f t="shared" si="66"/>
        <v>182.80</v>
      </c>
      <c r="P58" s="11" t="str">
        <f t="shared" si="67"/>
        <v>179.33</v>
      </c>
      <c r="Q58" s="11" t="str">
        <f t="shared" si="54"/>
        <v>189.72</v>
      </c>
      <c r="R58" s="11" t="str">
        <f t="shared" si="68"/>
        <v>183.98</v>
      </c>
      <c r="S58" s="11" t="str">
        <f t="shared" si="69"/>
        <v>181.60</v>
      </c>
      <c r="T58" s="11" t="str">
        <f t="shared" si="55"/>
        <v>189.91</v>
      </c>
      <c r="U58" s="11" t="str">
        <f t="shared" si="70"/>
        <v>184.80</v>
      </c>
      <c r="V58" s="11" t="str">
        <f t="shared" si="71"/>
        <v>183.42</v>
      </c>
      <c r="W58" s="11" t="str">
        <f t="shared" si="56"/>
        <v>189.40</v>
      </c>
      <c r="X58" s="11" t="str">
        <f t="shared" si="72"/>
        <v>185.30</v>
      </c>
      <c r="Y58" s="11" t="str">
        <f t="shared" si="73"/>
        <v>184.72</v>
      </c>
      <c r="Z58" s="11" t="str">
        <f t="shared" si="57"/>
        <v>188.21</v>
      </c>
      <c r="AA58" s="11" t="str">
        <f t="shared" si="74"/>
        <v>185.53</v>
      </c>
      <c r="AB58" s="11" t="str">
        <f t="shared" si="75"/>
        <v>185.45</v>
      </c>
      <c r="AC58" s="11" t="str">
        <f t="shared" si="58"/>
        <v>186.38</v>
      </c>
    </row>
    <row r="59" ht="14.25" customHeight="1">
      <c r="A59" s="6">
        <v>18.0</v>
      </c>
      <c r="B59" s="11" t="str">
        <f>Data!E21</f>
        <v>181.60</v>
      </c>
      <c r="C59" s="11" t="str">
        <f t="shared" ref="C59:D59" si="90">0.1*B59+(1-0.1)*C58</f>
        <v>174.12</v>
      </c>
      <c r="D59" s="11" t="str">
        <f t="shared" si="90"/>
        <v>171.72</v>
      </c>
      <c r="E59" s="11" t="str">
        <f t="shared" si="50"/>
        <v>176.79</v>
      </c>
      <c r="F59" s="11" t="str">
        <f t="shared" si="60"/>
        <v>177.23</v>
      </c>
      <c r="G59" s="11" t="str">
        <f t="shared" si="61"/>
        <v>172.41</v>
      </c>
      <c r="H59" s="11" t="str">
        <f t="shared" si="51"/>
        <v>183.26</v>
      </c>
      <c r="I59" s="11" t="str">
        <f t="shared" si="62"/>
        <v>179.76</v>
      </c>
      <c r="J59" s="11" t="str">
        <f t="shared" si="63"/>
        <v>175.50</v>
      </c>
      <c r="K59" s="11" t="str">
        <f t="shared" si="52"/>
        <v>185.85</v>
      </c>
      <c r="L59" s="11" t="str">
        <f t="shared" si="64"/>
        <v>181.34</v>
      </c>
      <c r="M59" s="11" t="str">
        <f t="shared" si="65"/>
        <v>178.52</v>
      </c>
      <c r="N59" s="11" t="str">
        <f t="shared" si="53"/>
        <v>186.04</v>
      </c>
      <c r="O59" s="11" t="str">
        <f t="shared" si="66"/>
        <v>182.20</v>
      </c>
      <c r="P59" s="11" t="str">
        <f t="shared" si="67"/>
        <v>180.77</v>
      </c>
      <c r="Q59" s="11" t="str">
        <f t="shared" si="54"/>
        <v>185.06</v>
      </c>
      <c r="R59" s="11" t="str">
        <f t="shared" si="68"/>
        <v>182.55</v>
      </c>
      <c r="S59" s="11" t="str">
        <f t="shared" si="69"/>
        <v>182.17</v>
      </c>
      <c r="T59" s="11" t="str">
        <f t="shared" si="55"/>
        <v>183.50</v>
      </c>
      <c r="U59" s="11" t="str">
        <f t="shared" si="70"/>
        <v>182.56</v>
      </c>
      <c r="V59" s="11" t="str">
        <f t="shared" si="71"/>
        <v>182.82</v>
      </c>
      <c r="W59" s="11" t="str">
        <f t="shared" si="56"/>
        <v>181.70</v>
      </c>
      <c r="X59" s="11" t="str">
        <f t="shared" si="72"/>
        <v>182.34</v>
      </c>
      <c r="Y59" s="11" t="str">
        <f t="shared" si="73"/>
        <v>182.82</v>
      </c>
      <c r="Z59" s="11" t="str">
        <f t="shared" si="57"/>
        <v>179.96</v>
      </c>
      <c r="AA59" s="11" t="str">
        <f t="shared" si="74"/>
        <v>181.99</v>
      </c>
      <c r="AB59" s="11" t="str">
        <f t="shared" si="75"/>
        <v>182.34</v>
      </c>
      <c r="AC59" s="11" t="str">
        <f t="shared" si="58"/>
        <v>178.54</v>
      </c>
    </row>
    <row r="60" ht="14.25" customHeight="1">
      <c r="A60" s="6">
        <v>19.0</v>
      </c>
      <c r="B60" s="11" t="str">
        <f>Data!E22</f>
        <v>189.10</v>
      </c>
      <c r="C60" s="11" t="str">
        <f t="shared" ref="C60:D60" si="91">0.1*B60+(1-0.1)*C59</f>
        <v>175.62</v>
      </c>
      <c r="D60" s="11" t="str">
        <f t="shared" si="91"/>
        <v>172.11</v>
      </c>
      <c r="E60" s="11" t="str">
        <f t="shared" si="50"/>
        <v>179.52</v>
      </c>
      <c r="F60" s="11" t="str">
        <f t="shared" si="60"/>
        <v>179.60</v>
      </c>
      <c r="G60" s="11" t="str">
        <f t="shared" si="61"/>
        <v>173.85</v>
      </c>
      <c r="H60" s="11" t="str">
        <f t="shared" si="51"/>
        <v>186.80</v>
      </c>
      <c r="I60" s="11" t="str">
        <f t="shared" si="62"/>
        <v>182.56</v>
      </c>
      <c r="J60" s="11" t="str">
        <f t="shared" si="63"/>
        <v>177.62</v>
      </c>
      <c r="K60" s="11" t="str">
        <f t="shared" si="52"/>
        <v>189.63</v>
      </c>
      <c r="L60" s="11" t="str">
        <f t="shared" si="64"/>
        <v>184.45</v>
      </c>
      <c r="M60" s="11" t="str">
        <f t="shared" si="65"/>
        <v>180.89</v>
      </c>
      <c r="N60" s="11" t="str">
        <f t="shared" si="53"/>
        <v>190.37</v>
      </c>
      <c r="O60" s="11" t="str">
        <f t="shared" si="66"/>
        <v>185.65</v>
      </c>
      <c r="P60" s="11" t="str">
        <f t="shared" si="67"/>
        <v>183.21</v>
      </c>
      <c r="Q60" s="11" t="str">
        <f t="shared" si="54"/>
        <v>190.53</v>
      </c>
      <c r="R60" s="11" t="str">
        <f t="shared" si="68"/>
        <v>186.48</v>
      </c>
      <c r="S60" s="11" t="str">
        <f t="shared" si="69"/>
        <v>184.76</v>
      </c>
      <c r="T60" s="11" t="str">
        <f t="shared" si="55"/>
        <v>190.79</v>
      </c>
      <c r="U60" s="11" t="str">
        <f t="shared" si="70"/>
        <v>187.14</v>
      </c>
      <c r="V60" s="11" t="str">
        <f t="shared" si="71"/>
        <v>185.84</v>
      </c>
      <c r="W60" s="11" t="str">
        <f t="shared" si="56"/>
        <v>191.46</v>
      </c>
      <c r="X60" s="11" t="str">
        <f t="shared" si="72"/>
        <v>187.75</v>
      </c>
      <c r="Y60" s="11" t="str">
        <f t="shared" si="73"/>
        <v>186.76</v>
      </c>
      <c r="Z60" s="11" t="str">
        <f t="shared" si="57"/>
        <v>192.68</v>
      </c>
      <c r="AA60" s="11" t="str">
        <f t="shared" si="74"/>
        <v>188.39</v>
      </c>
      <c r="AB60" s="11" t="str">
        <f t="shared" si="75"/>
        <v>187.78</v>
      </c>
      <c r="AC60" s="11" t="str">
        <f t="shared" si="58"/>
        <v>194.44</v>
      </c>
    </row>
    <row r="61" ht="14.25" customHeight="1">
      <c r="A61" s="6">
        <v>20.0</v>
      </c>
      <c r="B61" s="11" t="str">
        <f>Data!E23</f>
        <v>192.90</v>
      </c>
      <c r="C61" s="11" t="str">
        <f t="shared" ref="C61:D61" si="92">0.1*B61+(1-0.1)*C60</f>
        <v>177.35</v>
      </c>
      <c r="D61" s="11" t="str">
        <f t="shared" si="92"/>
        <v>172.63</v>
      </c>
      <c r="E61" s="11" t="str">
        <f t="shared" si="50"/>
        <v>182.58</v>
      </c>
      <c r="F61" s="11" t="str">
        <f t="shared" si="60"/>
        <v>182.26</v>
      </c>
      <c r="G61" s="11" t="str">
        <f t="shared" si="61"/>
        <v>175.53</v>
      </c>
      <c r="H61" s="11" t="str">
        <f t="shared" si="51"/>
        <v>190.68</v>
      </c>
      <c r="I61" s="11" t="str">
        <f t="shared" si="62"/>
        <v>185.67</v>
      </c>
      <c r="J61" s="11" t="str">
        <f t="shared" si="63"/>
        <v>180.04</v>
      </c>
      <c r="K61" s="11" t="str">
        <f t="shared" si="52"/>
        <v>193.71</v>
      </c>
      <c r="L61" s="11" t="str">
        <f t="shared" si="64"/>
        <v>187.83</v>
      </c>
      <c r="M61" s="11" t="str">
        <f t="shared" si="65"/>
        <v>183.67</v>
      </c>
      <c r="N61" s="11" t="str">
        <f t="shared" si="53"/>
        <v>194.76</v>
      </c>
      <c r="O61" s="11" t="str">
        <f t="shared" si="66"/>
        <v>189.27</v>
      </c>
      <c r="P61" s="11" t="str">
        <f t="shared" si="67"/>
        <v>186.24</v>
      </c>
      <c r="Q61" s="11" t="str">
        <f t="shared" si="54"/>
        <v>195.34</v>
      </c>
      <c r="R61" s="11" t="str">
        <f t="shared" si="68"/>
        <v>190.33</v>
      </c>
      <c r="S61" s="11" t="str">
        <f t="shared" si="69"/>
        <v>188.10</v>
      </c>
      <c r="T61" s="11" t="str">
        <f t="shared" si="55"/>
        <v>195.91</v>
      </c>
      <c r="U61" s="11" t="str">
        <f t="shared" si="70"/>
        <v>191.17</v>
      </c>
      <c r="V61" s="11" t="str">
        <f t="shared" si="71"/>
        <v>189.57</v>
      </c>
      <c r="W61" s="11" t="str">
        <f t="shared" si="56"/>
        <v>196.50</v>
      </c>
      <c r="X61" s="11" t="str">
        <f t="shared" si="72"/>
        <v>191.87</v>
      </c>
      <c r="Y61" s="11" t="str">
        <f t="shared" si="73"/>
        <v>190.85</v>
      </c>
      <c r="Z61" s="11" t="str">
        <f t="shared" si="57"/>
        <v>196.98</v>
      </c>
      <c r="AA61" s="11" t="str">
        <f t="shared" si="74"/>
        <v>192.45</v>
      </c>
      <c r="AB61" s="11" t="str">
        <f t="shared" si="75"/>
        <v>191.98</v>
      </c>
      <c r="AC61" s="11" t="str">
        <f t="shared" si="58"/>
        <v>197.11</v>
      </c>
    </row>
    <row r="62" ht="14.25" customHeight="1">
      <c r="A62" s="6">
        <v>21.0</v>
      </c>
      <c r="B62" s="11" t="str">
        <f>Data!E24</f>
        <v>196.70</v>
      </c>
      <c r="C62" s="11" t="str">
        <f t="shared" ref="C62:D62" si="93">0.1*B62+(1-0.1)*C61</f>
        <v>179.28</v>
      </c>
      <c r="D62" s="11" t="str">
        <f t="shared" si="93"/>
        <v>173.30</v>
      </c>
      <c r="E62" s="11" t="str">
        <f t="shared" si="50"/>
        <v>185.93</v>
      </c>
      <c r="F62" s="11" t="str">
        <f t="shared" si="60"/>
        <v>185.15</v>
      </c>
      <c r="G62" s="11" t="str">
        <f t="shared" si="61"/>
        <v>177.45</v>
      </c>
      <c r="H62" s="11" t="str">
        <f t="shared" si="51"/>
        <v>194.77</v>
      </c>
      <c r="I62" s="11" t="str">
        <f t="shared" si="62"/>
        <v>188.98</v>
      </c>
      <c r="J62" s="11" t="str">
        <f t="shared" si="63"/>
        <v>182.72</v>
      </c>
      <c r="K62" s="11" t="str">
        <f t="shared" si="52"/>
        <v>197.92</v>
      </c>
      <c r="L62" s="11" t="str">
        <f t="shared" si="64"/>
        <v>191.38</v>
      </c>
      <c r="M62" s="11" t="str">
        <f t="shared" si="65"/>
        <v>186.75</v>
      </c>
      <c r="N62" s="11" t="str">
        <f t="shared" si="53"/>
        <v>199.09</v>
      </c>
      <c r="O62" s="11" t="str">
        <f t="shared" si="66"/>
        <v>192.99</v>
      </c>
      <c r="P62" s="11" t="str">
        <f t="shared" si="67"/>
        <v>189.61</v>
      </c>
      <c r="Q62" s="11" t="str">
        <f t="shared" si="54"/>
        <v>199.73</v>
      </c>
      <c r="R62" s="11" t="str">
        <f t="shared" si="68"/>
        <v>194.15</v>
      </c>
      <c r="S62" s="11" t="str">
        <f t="shared" si="69"/>
        <v>191.73</v>
      </c>
      <c r="T62" s="11" t="str">
        <f t="shared" si="55"/>
        <v>200.20</v>
      </c>
      <c r="U62" s="11" t="str">
        <f t="shared" si="70"/>
        <v>195.04</v>
      </c>
      <c r="V62" s="11" t="str">
        <f t="shared" si="71"/>
        <v>193.40</v>
      </c>
      <c r="W62" s="11" t="str">
        <f t="shared" si="56"/>
        <v>200.51</v>
      </c>
      <c r="X62" s="11" t="str">
        <f t="shared" si="72"/>
        <v>195.73</v>
      </c>
      <c r="Y62" s="11" t="str">
        <f t="shared" si="73"/>
        <v>194.76</v>
      </c>
      <c r="Z62" s="11" t="str">
        <f t="shared" si="57"/>
        <v>200.62</v>
      </c>
      <c r="AA62" s="11" t="str">
        <f t="shared" si="74"/>
        <v>196.27</v>
      </c>
      <c r="AB62" s="11" t="str">
        <f t="shared" si="75"/>
        <v>195.85</v>
      </c>
      <c r="AC62" s="11" t="str">
        <f t="shared" si="58"/>
        <v>200.57</v>
      </c>
    </row>
    <row r="63" ht="14.25" customHeight="1">
      <c r="A63" s="6">
        <v>22.0</v>
      </c>
      <c r="B63" s="11" t="str">
        <f>Data!E25</f>
        <v>194.10</v>
      </c>
      <c r="C63" s="11" t="str">
        <f t="shared" ref="C63:D63" si="94">0.1*B63+(1-0.1)*C62</f>
        <v>180.76</v>
      </c>
      <c r="D63" s="11" t="str">
        <f t="shared" si="94"/>
        <v>174.05</v>
      </c>
      <c r="E63" s="11" t="str">
        <f t="shared" si="50"/>
        <v>188.23</v>
      </c>
      <c r="F63" s="11" t="str">
        <f t="shared" si="60"/>
        <v>186.94</v>
      </c>
      <c r="G63" s="11" t="str">
        <f t="shared" si="61"/>
        <v>179.35</v>
      </c>
      <c r="H63" s="11" t="str">
        <f t="shared" si="51"/>
        <v>196.43</v>
      </c>
      <c r="I63" s="11" t="str">
        <f t="shared" si="62"/>
        <v>190.51</v>
      </c>
      <c r="J63" s="11" t="str">
        <f t="shared" si="63"/>
        <v>185.06</v>
      </c>
      <c r="K63" s="11" t="str">
        <f t="shared" si="52"/>
        <v>198.31</v>
      </c>
      <c r="L63" s="11" t="str">
        <f t="shared" si="64"/>
        <v>192.47</v>
      </c>
      <c r="M63" s="11" t="str">
        <f t="shared" si="65"/>
        <v>189.04</v>
      </c>
      <c r="N63" s="11" t="str">
        <f t="shared" si="53"/>
        <v>198.18</v>
      </c>
      <c r="O63" s="11" t="str">
        <f t="shared" si="66"/>
        <v>193.54</v>
      </c>
      <c r="P63" s="11" t="str">
        <f t="shared" si="67"/>
        <v>191.58</v>
      </c>
      <c r="Q63" s="11" t="str">
        <f t="shared" si="54"/>
        <v>197.47</v>
      </c>
      <c r="R63" s="11" t="str">
        <f t="shared" si="68"/>
        <v>194.12</v>
      </c>
      <c r="S63" s="11" t="str">
        <f t="shared" si="69"/>
        <v>193.17</v>
      </c>
      <c r="T63" s="11" t="str">
        <f t="shared" si="55"/>
        <v>196.51</v>
      </c>
      <c r="U63" s="11" t="str">
        <f t="shared" si="70"/>
        <v>194.38</v>
      </c>
      <c r="V63" s="11" t="str">
        <f t="shared" si="71"/>
        <v>194.09</v>
      </c>
      <c r="W63" s="11" t="str">
        <f t="shared" si="56"/>
        <v>195.36</v>
      </c>
      <c r="X63" s="11" t="str">
        <f t="shared" si="72"/>
        <v>194.43</v>
      </c>
      <c r="Y63" s="11" t="str">
        <f t="shared" si="73"/>
        <v>194.49</v>
      </c>
      <c r="Z63" s="11" t="str">
        <f t="shared" si="57"/>
        <v>194.10</v>
      </c>
      <c r="AA63" s="11" t="str">
        <f t="shared" si="74"/>
        <v>194.32</v>
      </c>
      <c r="AB63" s="11" t="str">
        <f t="shared" si="75"/>
        <v>194.47</v>
      </c>
      <c r="AC63" s="11" t="str">
        <f t="shared" si="58"/>
        <v>192.79</v>
      </c>
    </row>
    <row r="64" ht="14.25" customHeight="1">
      <c r="A64" s="6">
        <v>23.0</v>
      </c>
      <c r="B64" s="11" t="str">
        <f>Data!E26</f>
        <v>187.50</v>
      </c>
      <c r="C64" s="11" t="str">
        <f t="shared" ref="C64:D64" si="95">0.1*B64+(1-0.1)*C63</f>
        <v>181.44</v>
      </c>
      <c r="D64" s="11" t="str">
        <f t="shared" si="95"/>
        <v>174.79</v>
      </c>
      <c r="E64" s="11" t="str">
        <f t="shared" si="50"/>
        <v>188.83</v>
      </c>
      <c r="F64" s="11" t="str">
        <f t="shared" si="60"/>
        <v>187.05</v>
      </c>
      <c r="G64" s="11" t="str">
        <f t="shared" si="61"/>
        <v>180.89</v>
      </c>
      <c r="H64" s="11" t="str">
        <f t="shared" si="51"/>
        <v>194.75</v>
      </c>
      <c r="I64" s="11" t="str">
        <f t="shared" si="62"/>
        <v>189.61</v>
      </c>
      <c r="J64" s="11" t="str">
        <f t="shared" si="63"/>
        <v>186.42</v>
      </c>
      <c r="K64" s="11" t="str">
        <f t="shared" si="52"/>
        <v>194.16</v>
      </c>
      <c r="L64" s="11" t="str">
        <f t="shared" si="64"/>
        <v>190.48</v>
      </c>
      <c r="M64" s="11" t="str">
        <f t="shared" si="65"/>
        <v>189.61</v>
      </c>
      <c r="N64" s="11" t="str">
        <f t="shared" si="53"/>
        <v>191.92</v>
      </c>
      <c r="O64" s="11" t="str">
        <f t="shared" si="66"/>
        <v>190.52</v>
      </c>
      <c r="P64" s="11" t="str">
        <f t="shared" si="67"/>
        <v>191.05</v>
      </c>
      <c r="Q64" s="11" t="str">
        <f t="shared" si="54"/>
        <v>189.46</v>
      </c>
      <c r="R64" s="11" t="str">
        <f t="shared" si="68"/>
        <v>190.15</v>
      </c>
      <c r="S64" s="11" t="str">
        <f t="shared" si="69"/>
        <v>191.36</v>
      </c>
      <c r="T64" s="11" t="str">
        <f t="shared" si="55"/>
        <v>187.13</v>
      </c>
      <c r="U64" s="11" t="str">
        <f t="shared" si="70"/>
        <v>189.56</v>
      </c>
      <c r="V64" s="11" t="str">
        <f t="shared" si="71"/>
        <v>190.92</v>
      </c>
      <c r="W64" s="11" t="str">
        <f t="shared" si="56"/>
        <v>185.04</v>
      </c>
      <c r="X64" s="11" t="str">
        <f t="shared" si="72"/>
        <v>188.89</v>
      </c>
      <c r="Y64" s="11" t="str">
        <f t="shared" si="73"/>
        <v>190.01</v>
      </c>
      <c r="Z64" s="11" t="str">
        <f t="shared" si="57"/>
        <v>183.28</v>
      </c>
      <c r="AA64" s="11" t="str">
        <f t="shared" si="74"/>
        <v>188.18</v>
      </c>
      <c r="AB64" s="11" t="str">
        <f t="shared" si="75"/>
        <v>188.81</v>
      </c>
      <c r="AC64" s="11" t="str">
        <f t="shared" si="58"/>
        <v>181.89</v>
      </c>
    </row>
    <row r="65" ht="14.25" customHeight="1">
      <c r="A65" s="6">
        <v>24.0</v>
      </c>
      <c r="B65" s="11" t="str">
        <f>Data!E27</f>
        <v>192.90</v>
      </c>
      <c r="C65" s="11" t="str">
        <f t="shared" ref="C65:D65" si="96">0.1*B65+(1-0.1)*C64</f>
        <v>182.58</v>
      </c>
      <c r="D65" s="11" t="str">
        <f t="shared" si="96"/>
        <v>175.56</v>
      </c>
      <c r="E65" s="11" t="str">
        <f t="shared" si="50"/>
        <v>190.38</v>
      </c>
      <c r="F65" s="11" t="str">
        <f t="shared" si="60"/>
        <v>188.22</v>
      </c>
      <c r="G65" s="11" t="str">
        <f t="shared" si="61"/>
        <v>182.36</v>
      </c>
      <c r="H65" s="11" t="str">
        <f t="shared" si="51"/>
        <v>195.55</v>
      </c>
      <c r="I65" s="11" t="str">
        <f t="shared" si="62"/>
        <v>190.60</v>
      </c>
      <c r="J65" s="11" t="str">
        <f t="shared" si="63"/>
        <v>187.67</v>
      </c>
      <c r="K65" s="11" t="str">
        <f t="shared" si="52"/>
        <v>194.77</v>
      </c>
      <c r="L65" s="11" t="str">
        <f t="shared" si="64"/>
        <v>191.45</v>
      </c>
      <c r="M65" s="11" t="str">
        <f t="shared" si="65"/>
        <v>190.35</v>
      </c>
      <c r="N65" s="11" t="str">
        <f t="shared" si="53"/>
        <v>193.28</v>
      </c>
      <c r="O65" s="11" t="str">
        <f t="shared" si="66"/>
        <v>191.71</v>
      </c>
      <c r="P65" s="11" t="str">
        <f t="shared" si="67"/>
        <v>191.38</v>
      </c>
      <c r="Q65" s="11" t="str">
        <f t="shared" si="54"/>
        <v>192.37</v>
      </c>
      <c r="R65" s="11" t="str">
        <f t="shared" si="68"/>
        <v>191.80</v>
      </c>
      <c r="S65" s="11" t="str">
        <f t="shared" si="69"/>
        <v>191.62</v>
      </c>
      <c r="T65" s="11" t="str">
        <f t="shared" si="55"/>
        <v>192.24</v>
      </c>
      <c r="U65" s="11" t="str">
        <f t="shared" si="70"/>
        <v>191.90</v>
      </c>
      <c r="V65" s="11" t="str">
        <f t="shared" si="71"/>
        <v>191.61</v>
      </c>
      <c r="W65" s="11" t="str">
        <f t="shared" si="56"/>
        <v>192.88</v>
      </c>
      <c r="X65" s="11" t="str">
        <f t="shared" si="72"/>
        <v>192.10</v>
      </c>
      <c r="Y65" s="11" t="str">
        <f t="shared" si="73"/>
        <v>191.68</v>
      </c>
      <c r="Z65" s="11" t="str">
        <f t="shared" si="57"/>
        <v>194.19</v>
      </c>
      <c r="AA65" s="11" t="str">
        <f t="shared" si="74"/>
        <v>192.43</v>
      </c>
      <c r="AB65" s="11" t="str">
        <f t="shared" si="75"/>
        <v>192.07</v>
      </c>
      <c r="AC65" s="11" t="str">
        <f t="shared" si="58"/>
        <v>196.05</v>
      </c>
    </row>
    <row r="66" ht="14.25" customHeight="1"/>
    <row r="67" ht="14.25" customHeight="1">
      <c r="B67" s="17" t="s">
        <v>45</v>
      </c>
      <c r="E67" s="18">
        <v>0.1</v>
      </c>
      <c r="H67" s="18">
        <v>0.2</v>
      </c>
      <c r="K67" s="18">
        <v>0.3</v>
      </c>
      <c r="N67" s="18">
        <v>0.4</v>
      </c>
      <c r="Q67" s="18">
        <v>0.5</v>
      </c>
      <c r="T67" s="18">
        <v>0.6</v>
      </c>
      <c r="W67" s="18">
        <v>0.7</v>
      </c>
      <c r="Z67" s="18">
        <v>0.8</v>
      </c>
      <c r="AC67" s="18">
        <v>0.9</v>
      </c>
    </row>
    <row r="68" ht="14.25" customHeight="1">
      <c r="B68" s="17" t="s">
        <v>16</v>
      </c>
      <c r="E68" s="12" t="str">
        <f>SUMPRODUCT((B44:B65-E43:E64)^2)/COUNT(E43:E64)</f>
        <v>66.072</v>
      </c>
      <c r="H68" s="12" t="str">
        <f>SUMPRODUCT((B44:B65-H43:H64)^2)/COUNT(H43:H64)</f>
        <v>31.617</v>
      </c>
      <c r="K68" s="12" t="str">
        <f>SUMPRODUCT((B44:B65-K43:K64)^2)/COUNT(K43:K64)</f>
        <v>25.175</v>
      </c>
      <c r="N68" s="12" t="str">
        <f>SUMPRODUCT((B44:B65-N43:N64)^2)/COUNT(N43:N64)</f>
        <v>25.571</v>
      </c>
      <c r="Q68" s="12" t="str">
        <f>SUMPRODUCT((B44:B65-Q43:Q64)^2)/COUNT(Q43:Q64)</f>
        <v>28.766</v>
      </c>
      <c r="T68" s="12" t="str">
        <f>SUMPRODUCT((B44:B65-T43:T64)^2)/COUNT(T43:T64)</f>
        <v>33.680</v>
      </c>
      <c r="W68" s="12" t="str">
        <f>SUMPRODUCT((B44:B65-W43:W64)^2)/COUNT(W43:W64)</f>
        <v>39.923</v>
      </c>
      <c r="Z68" s="12" t="str">
        <f>SUMPRODUCT((B44:B65-Z43:Z64)^2)/COUNT(Z43:Z64)</f>
        <v>47.445</v>
      </c>
      <c r="AC68" s="12" t="str">
        <f>SUMPRODUCT((B44:B65-AC43:AC64)^2)/COUNT(AC43:AC64)</f>
        <v>56.542</v>
      </c>
    </row>
    <row r="69" ht="14.25" customHeight="1">
      <c r="B69" s="17" t="s">
        <v>17</v>
      </c>
      <c r="E69" s="12" t="str">
        <f>SUMPRODUCT(ABS(B44:B65-E43:E64))/COUNT(E43:E64)</f>
        <v>6.704</v>
      </c>
      <c r="H69" s="12" t="str">
        <f>SUMPRODUCT(ABS(B44:B65-H43:H64))/COUNT(H43:H64)</f>
        <v>4.507</v>
      </c>
      <c r="K69" s="12" t="str">
        <f>SUMPRODUCT(ABS(B44:B65-K43:K64))/COUNT(K43:K64)</f>
        <v>3.920</v>
      </c>
      <c r="N69" s="12" t="str">
        <f>SUMPRODUCT(ABS(B44:B65-N43:N64))/COUNT(N43:N64)</f>
        <v>4.067</v>
      </c>
      <c r="Q69" s="12" t="str">
        <f>SUMPRODUCT(ABS(B44:B65-Q43:Q64))/COUNT(Q43:Q64)</f>
        <v>4.590</v>
      </c>
      <c r="T69" s="12" t="str">
        <f>SUMPRODUCT(ABS(B44:B65-T43:T64))/COUNT(T43:T64)</f>
        <v>5.061</v>
      </c>
      <c r="W69" s="12" t="str">
        <f>SUMPRODUCT(ABS(B44:B65-W43:W64))/COUNT(W43:W64)</f>
        <v>5.580</v>
      </c>
      <c r="Z69" s="12" t="str">
        <f>SUMPRODUCT(ABS(B44:B65-Z43:Z64))/COUNT(Z43:Z64)</f>
        <v>6.015</v>
      </c>
      <c r="AC69" s="12" t="str">
        <f>SUMPRODUCT(ABS(B44:B65-AC43:AC64))/COUNT(AC43:AC64)</f>
        <v>6.527</v>
      </c>
    </row>
    <row r="70" ht="14.25" customHeight="1">
      <c r="B70" s="17" t="s">
        <v>18</v>
      </c>
      <c r="E70" s="13" t="str">
        <f>SUMPRODUCT(ABS(B44:B65-E43:E64)/B44:B65)/COUNT(E43:E64)*100</f>
        <v>3.71</v>
      </c>
      <c r="H70" s="13" t="str">
        <f>SUMPRODUCT(ABS(B44:B65-H43:H64)/B44:B65)/COUNT(H43:H64)*100</f>
        <v>2.51</v>
      </c>
      <c r="K70" s="13" t="str">
        <f>SUMPRODUCT(ABS(B44:B65-K43:K64)/B44:B65)/COUNT(K43:K64)*100</f>
        <v>2.19</v>
      </c>
      <c r="N70" s="13" t="str">
        <f>SUMPRODUCT(ABS(B44:B65-N43:N64)/B44:B65)/COUNT(N43:N64)*100</f>
        <v>2.29</v>
      </c>
      <c r="Q70" s="13" t="str">
        <f>SUMPRODUCT(ABS(B44:B65-Q43:Q64)/B44:B65)/COUNT(Q43:Q64)*100</f>
        <v>2.59</v>
      </c>
      <c r="T70" s="13" t="str">
        <f>SUMPRODUCT(ABS(B44:B65-T43:T64)/B44:B65)/COUNT(T43:T64)*100</f>
        <v>2.86</v>
      </c>
      <c r="W70" s="13" t="str">
        <f>SUMPRODUCT(ABS(B44:B65-W43:W64)/B44:B65)/COUNT(W43:W64)*100</f>
        <v>3.16</v>
      </c>
      <c r="Z70" s="13" t="str">
        <f>SUMPRODUCT(ABS(B44:B65-Z43:Z64)/B44:B65)/COUNT(Z43:Z64)*100</f>
        <v>3.41</v>
      </c>
      <c r="AC70" s="13" t="str">
        <f>SUMPRODUCT(ABS(B44:B65-AC43:AC64)/B44:B65)/COUNT(AC43:AC64)*100</f>
        <v>3.70</v>
      </c>
    </row>
    <row r="71" ht="14.25" customHeight="1">
      <c r="A71" s="2" t="s">
        <v>46</v>
      </c>
      <c r="B71" s="18" t="str">
        <f t="array" ref="B71">INDEX(E67:AC67,MATCH(MIN(E68:AC68),E68:AC68,0))</f>
        <v>0.3</v>
      </c>
    </row>
    <row r="72" ht="14.25" customHeight="1">
      <c r="A72" s="2" t="s">
        <v>20</v>
      </c>
      <c r="B72" s="15" t="str">
        <f>MIN(E68:AC68)</f>
        <v>25.175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14.0"/>
    <col customWidth="1" min="4" max="4" width="20.0"/>
    <col customWidth="1" min="5" max="5" width="14.0"/>
    <col customWidth="1" min="6" max="11" width="8.71"/>
  </cols>
  <sheetData>
    <row r="1" ht="14.25" customHeight="1">
      <c r="A1" s="1" t="s">
        <v>66</v>
      </c>
    </row>
    <row r="2" ht="14.25" customHeight="1">
      <c r="A2" s="16"/>
    </row>
    <row r="3" ht="14.25" customHeight="1"/>
    <row r="4" ht="14.25" customHeight="1">
      <c r="A4" s="5" t="s">
        <v>67</v>
      </c>
      <c r="B4" s="5" t="s">
        <v>68</v>
      </c>
      <c r="C4" s="5" t="s">
        <v>69</v>
      </c>
      <c r="D4" s="5" t="s">
        <v>70</v>
      </c>
      <c r="E4" s="5" t="s">
        <v>71</v>
      </c>
    </row>
    <row r="5" ht="14.25" customHeight="1">
      <c r="A5" s="19" t="s">
        <v>72</v>
      </c>
      <c r="B5" s="6" t="str">
        <f>"orde m="&amp;SMA!B33</f>
        <v>orde m=5</v>
      </c>
      <c r="C5" s="20" t="str">
        <f>SMA!B34</f>
        <v>60.105</v>
      </c>
      <c r="D5" s="6" t="str">
        <f>"orde m="&amp;SMA!B67</f>
        <v>orde m=3</v>
      </c>
      <c r="E5" s="20" t="str">
        <f>SMA!B68</f>
        <v>31.035</v>
      </c>
    </row>
    <row r="6" ht="14.25" customHeight="1">
      <c r="A6" s="19" t="s">
        <v>73</v>
      </c>
      <c r="B6" s="6" t="str">
        <f>"orde m="&amp;DMA!B98</f>
        <v>orde m=5</v>
      </c>
      <c r="C6" s="20" t="str">
        <f>DMA!B99</f>
        <v>81.809</v>
      </c>
      <c r="D6" s="6" t="str">
        <f>"orde m="&amp;DMA!B196</f>
        <v>orde m=4</v>
      </c>
      <c r="E6" s="20" t="str">
        <f>DMA!B197</f>
        <v>24.180</v>
      </c>
    </row>
    <row r="7" ht="14.25" customHeight="1">
      <c r="A7" s="19" t="s">
        <v>74</v>
      </c>
      <c r="B7" s="6" t="str">
        <f>"alpha="&amp;SES!B35</f>
        <v>alpha=0.3</v>
      </c>
      <c r="C7" s="20" t="str">
        <f>SES!B36</f>
        <v>85.378</v>
      </c>
      <c r="D7" s="6" t="str">
        <f>"alpha="&amp;SES!B70</f>
        <v>alpha=0.8</v>
      </c>
      <c r="E7" s="20" t="str">
        <f>SES!B71</f>
        <v>31.323</v>
      </c>
    </row>
    <row r="8" ht="14.25" customHeight="1">
      <c r="A8" s="19" t="s">
        <v>75</v>
      </c>
      <c r="B8" s="6" t="str">
        <f>"alpha="&amp;DES!B36</f>
        <v>alpha=0.1</v>
      </c>
      <c r="C8" s="20" t="str">
        <f>DES!B37</f>
        <v>63.522</v>
      </c>
      <c r="D8" s="6" t="str">
        <f>"alpha="&amp;DES!B71</f>
        <v>alpha=0.3</v>
      </c>
      <c r="E8" s="20" t="str">
        <f>DES!B72</f>
        <v>25.175</v>
      </c>
    </row>
    <row r="9" ht="14.25" customHeight="1"/>
    <row r="10" ht="14.25" customHeight="1">
      <c r="A10" s="2" t="s">
        <v>76</v>
      </c>
      <c r="B10" s="14" t="str">
        <f t="array" ref="B10">INDEX(A5:A8,MATCH(MIN(C5:C8),C5:C8,0))</f>
        <v>SMA</v>
      </c>
      <c r="C10" s="12" t="str">
        <f>MIN(C5:C8)</f>
        <v>60.105</v>
      </c>
    </row>
    <row r="11" ht="14.25" customHeight="1">
      <c r="A11" s="2" t="s">
        <v>77</v>
      </c>
      <c r="D11" s="14" t="str">
        <f t="array" ref="D11">INDEX(A5:A8,MATCH(MIN(E5:E8),E5:E8,0))</f>
        <v>DMA</v>
      </c>
      <c r="E11" s="12" t="str">
        <f>MIN(E5:E8)</f>
        <v>24.180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Data</vt:lpstr>
      <vt:lpstr>SMA</vt:lpstr>
      <vt:lpstr>DMA</vt:lpstr>
      <vt:lpstr>SES</vt:lpstr>
      <vt:lpstr>DES</vt:lpstr>
      <vt:lpstr>Perbandingan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2026-08-20T13:36:10Z</dcterms:created>
  <dc:creator>openpyxl</dc:creator>
  <dc:description/>
  <dc:language>en-US</dc:language>
  <cp:lastModifiedBy>Muhammad Athaurahman</cp:lastModifiedBy>
  <dcterms:modified xsi:type="dcterms:W3CDTF">2026-08-24T06:03:37Z</dcterms:modified>
  <cp:revision>0</cp:revision>
  <dc:subject/>
  <dc:title/>
</cp:coreProperties>
</file>